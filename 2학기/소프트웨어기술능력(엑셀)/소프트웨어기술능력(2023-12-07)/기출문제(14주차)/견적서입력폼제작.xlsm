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SeungHo\Desktop\"/>
    </mc:Choice>
  </mc:AlternateContent>
  <xr:revisionPtr revIDLastSave="0" documentId="8_{70E0203F-B35C-4D35-B98B-E60306EC34B4}" xr6:coauthVersionLast="47" xr6:coauthVersionMax="47" xr10:uidLastSave="{00000000-0000-0000-0000-000000000000}"/>
  <bookViews>
    <workbookView xWindow="-103" yWindow="-103" windowWidth="24892" windowHeight="14914" xr2:uid="{3B775BDD-789B-4CD4-9670-6A688810CEB4}"/>
  </bookViews>
  <sheets>
    <sheet name="견적서" sheetId="1" r:id="rId1"/>
    <sheet name="도서목록" sheetId="2" r:id="rId2"/>
  </sheets>
  <definedNames>
    <definedName name="_xlnm.Print_Area" localSheetId="0">견적서!$B$2:$K$26</definedName>
    <definedName name="단가표">도서목록!$A$3:$B$21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6" i="1" l="1"/>
  <c r="G16" i="1"/>
  <c r="I15" i="1"/>
  <c r="G15" i="1"/>
  <c r="I14" i="1"/>
  <c r="G14" i="1"/>
  <c r="I13" i="1"/>
  <c r="G13" i="1"/>
  <c r="B6" i="1"/>
  <c r="I24" i="1" l="1"/>
  <c r="G24" i="1"/>
  <c r="D11" i="1" l="1"/>
  <c r="G11" i="1" s="1"/>
</calcChain>
</file>

<file path=xl/sharedStrings.xml><?xml version="1.0" encoding="utf-8"?>
<sst xmlns="http://schemas.openxmlformats.org/spreadsheetml/2006/main" count="56" uniqueCount="52">
  <si>
    <t>공
급
자</t>
    <phoneticPr fontId="4" type="noConversion"/>
  </si>
  <si>
    <t>등록번호</t>
    <phoneticPr fontId="4" type="noConversion"/>
  </si>
  <si>
    <t>상      호</t>
    <phoneticPr fontId="4" type="noConversion"/>
  </si>
  <si>
    <t>사 업 장
주     소</t>
    <phoneticPr fontId="4" type="noConversion"/>
  </si>
  <si>
    <t>업      태</t>
    <phoneticPr fontId="4" type="noConversion"/>
  </si>
  <si>
    <t xml:space="preserve">  아래와 같이 견적합니다.</t>
    <phoneticPr fontId="4" type="noConversion"/>
  </si>
  <si>
    <t>합계금액</t>
    <phoneticPr fontId="4" type="noConversion"/>
  </si>
  <si>
    <t>공급가액</t>
    <phoneticPr fontId="4" type="noConversion"/>
  </si>
  <si>
    <t>세액</t>
    <phoneticPr fontId="4" type="noConversion"/>
  </si>
  <si>
    <t>비     고</t>
    <phoneticPr fontId="4" type="noConversion"/>
  </si>
  <si>
    <t xml:space="preserve">
    </t>
    <phoneticPr fontId="4" type="noConversion"/>
  </si>
  <si>
    <t>견   적   서</t>
    <phoneticPr fontId="4" type="noConversion"/>
  </si>
  <si>
    <t>124-91-70246</t>
    <phoneticPr fontId="4" type="noConversion"/>
  </si>
  <si>
    <t>컴피플</t>
    <phoneticPr fontId="2" type="noConversion"/>
  </si>
  <si>
    <t>김경자</t>
    <phoneticPr fontId="4" type="noConversion"/>
  </si>
  <si>
    <t>경기도 화성시 동탄지성로 104</t>
    <phoneticPr fontId="4" type="noConversion"/>
  </si>
  <si>
    <t>서비스</t>
    <phoneticPr fontId="4" type="noConversion"/>
  </si>
  <si>
    <t>임직원교육</t>
    <phoneticPr fontId="4" type="noConversion"/>
  </si>
  <si>
    <t>비고</t>
    <phoneticPr fontId="4" type="noConversion"/>
  </si>
  <si>
    <t>도서 단가표</t>
  </si>
  <si>
    <t>도서명</t>
  </si>
  <si>
    <t>단가</t>
  </si>
  <si>
    <t>성    명</t>
    <phoneticPr fontId="4" type="noConversion"/>
  </si>
  <si>
    <t>종    목</t>
    <phoneticPr fontId="4" type="noConversion"/>
  </si>
  <si>
    <t>편집 디자인 강의 with 인디자인</t>
    <phoneticPr fontId="2" type="noConversion"/>
  </si>
  <si>
    <t>다이내믹 프로그래밍 완전 정복</t>
    <phoneticPr fontId="2" type="noConversion"/>
  </si>
  <si>
    <t>스위프트 프로그래밍</t>
    <phoneticPr fontId="2" type="noConversion"/>
  </si>
  <si>
    <t>이더리움 블록체인 게임 개발</t>
    <phoneticPr fontId="2" type="noConversion"/>
  </si>
  <si>
    <t>파이썬을 활용한 머신러닝 쿡북</t>
    <phoneticPr fontId="2" type="noConversion"/>
  </si>
  <si>
    <t>맛있는 디자인 라이트룸 CC</t>
    <phoneticPr fontId="2" type="noConversion"/>
  </si>
  <si>
    <t>회사에서 바로 통하는 엑셀 함수 실무 강의</t>
    <phoneticPr fontId="2" type="noConversion"/>
  </si>
  <si>
    <t>엑셀만 알아도 할 수 있는 데이터 과학</t>
    <phoneticPr fontId="2" type="noConversion"/>
  </si>
  <si>
    <t>밑바닥부터 시작하는 딥러닝</t>
    <phoneticPr fontId="2" type="noConversion"/>
  </si>
  <si>
    <t>혼자 공부하는 파이썬</t>
    <phoneticPr fontId="2" type="noConversion"/>
  </si>
  <si>
    <t>유튜브 동영상 편집 with 프리미어 프로</t>
    <phoneticPr fontId="2" type="noConversion"/>
  </si>
  <si>
    <t>맛있는 디자인 포토샵&amp;일러스트레이터</t>
    <phoneticPr fontId="2" type="noConversion"/>
  </si>
  <si>
    <t>이것이 C#이다</t>
    <phoneticPr fontId="2" type="noConversion"/>
  </si>
  <si>
    <t>C++ 최적화</t>
    <phoneticPr fontId="2" type="noConversion"/>
  </si>
  <si>
    <t>엔터프라이즈 자바 마이크로서비스</t>
    <phoneticPr fontId="2" type="noConversion"/>
  </si>
  <si>
    <t>도  서  명</t>
    <phoneticPr fontId="4" type="noConversion"/>
  </si>
  <si>
    <t>수량</t>
    <phoneticPr fontId="4" type="noConversion"/>
  </si>
  <si>
    <t>회사에서 바로 통하는 오토캐드 2019</t>
    <phoneticPr fontId="2" type="noConversion"/>
  </si>
  <si>
    <t>컴피플</t>
    <phoneticPr fontId="2" type="noConversion"/>
  </si>
  <si>
    <t>유튜브 상위 노출</t>
    <phoneticPr fontId="2" type="noConversion"/>
  </si>
  <si>
    <t>엑셀 파워포인트 워드&amp;한글</t>
    <phoneticPr fontId="2" type="noConversion"/>
  </si>
  <si>
    <t>실무 엑셀 데이터 활용+분석</t>
    <phoneticPr fontId="2" type="noConversion"/>
  </si>
  <si>
    <t>단    가</t>
    <phoneticPr fontId="4" type="noConversion"/>
  </si>
  <si>
    <t>다이내믹 프로그래밍 완전 정복</t>
  </si>
  <si>
    <t>213</t>
  </si>
  <si>
    <t>회사에서 바로 통하는 엑셀 함수 실무 강의</t>
  </si>
  <si>
    <t>이더리움 블록체인 게임 개발</t>
  </si>
  <si>
    <t>dw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</si>
</sst>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yyyy&quot;년&quot;\ m&quot;월&quot;\ d&quot;일&quot;"/>
    <numFmt numFmtId="177" formatCode="#,###&quot;원절삭&quot;"/>
    <numFmt numFmtId="178" formatCode="#,###&quot; 원절삭&quot;"/>
    <numFmt numFmtId="179" formatCode="&quot;₩&quot;\ #,##0"/>
    <numFmt numFmtId="180" formatCode="[DBNum4]\(&quot;금&quot;[$-412]General&quot;원&quot;&quot;정&quot;\)"/>
    <numFmt numFmtId="181" formatCode="@\ &quot;귀&quot;&quot;하&quot;"/>
  </numFmts>
  <fonts count="12">
    <font>
      <sz val="11"/>
      <color theme="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22"/>
      <name val="맑은 고딕"/>
      <family val="3"/>
      <charset val="129"/>
      <scheme val="minor"/>
    </font>
    <font>
      <sz val="8"/>
      <name val="돋움"/>
      <family val="3"/>
      <charset val="129"/>
    </font>
    <font>
      <b/>
      <sz val="11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11"/>
      <color indexed="10"/>
      <name val="맑은 고딕"/>
      <family val="3"/>
      <charset val="129"/>
      <scheme val="minor"/>
    </font>
    <font>
      <b/>
      <sz val="18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1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</fills>
  <borders count="4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99">
    <xf numFmtId="0" fontId="0" fillId="0" borderId="0" xfId="0">
      <alignment vertical="center"/>
    </xf>
    <xf numFmtId="0" fontId="1" fillId="0" borderId="0" xfId="0" applyFont="1">
      <alignment vertical="center"/>
    </xf>
    <xf numFmtId="0" fontId="1" fillId="0" borderId="0" xfId="0" applyFont="1" applyAlignment="1">
      <alignment shrinkToFit="1"/>
    </xf>
    <xf numFmtId="0" fontId="1" fillId="0" borderId="1" xfId="0" applyFont="1" applyBorder="1">
      <alignment vertical="center"/>
    </xf>
    <xf numFmtId="0" fontId="1" fillId="0" borderId="2" xfId="0" applyFont="1" applyBorder="1" applyAlignment="1">
      <alignment shrinkToFit="1"/>
    </xf>
    <xf numFmtId="0" fontId="1" fillId="0" borderId="2" xfId="0" applyFont="1" applyBorder="1">
      <alignment vertical="center"/>
    </xf>
    <xf numFmtId="0" fontId="1" fillId="0" borderId="3" xfId="0" applyFont="1" applyBorder="1">
      <alignment vertical="center"/>
    </xf>
    <xf numFmtId="0" fontId="1" fillId="0" borderId="4" xfId="0" applyFont="1" applyBorder="1">
      <alignment vertical="center"/>
    </xf>
    <xf numFmtId="0" fontId="1" fillId="0" borderId="0" xfId="0" applyFont="1" applyAlignment="1">
      <alignment vertical="center" shrinkToFit="1"/>
    </xf>
    <xf numFmtId="0" fontId="1" fillId="0" borderId="6" xfId="0" applyFont="1" applyBorder="1">
      <alignment vertical="center"/>
    </xf>
    <xf numFmtId="0" fontId="5" fillId="0" borderId="0" xfId="0" applyFont="1" applyAlignment="1">
      <alignment horizontal="center"/>
    </xf>
    <xf numFmtId="0" fontId="1" fillId="0" borderId="0" xfId="0" applyFont="1" applyAlignment="1"/>
    <xf numFmtId="176" fontId="1" fillId="0" borderId="7" xfId="0" applyNumberFormat="1" applyFont="1" applyBorder="1" applyAlignment="1">
      <alignment horizontal="center"/>
    </xf>
    <xf numFmtId="0" fontId="6" fillId="0" borderId="9" xfId="0" applyFont="1" applyBorder="1" applyAlignment="1" applyProtection="1">
      <alignment horizontal="center" vertical="center"/>
      <protection locked="0"/>
    </xf>
    <xf numFmtId="0" fontId="1" fillId="0" borderId="6" xfId="0" applyFont="1" applyBorder="1" applyAlignment="1"/>
    <xf numFmtId="0" fontId="6" fillId="0" borderId="14" xfId="0" applyFont="1" applyBorder="1" applyAlignment="1" applyProtection="1">
      <alignment horizontal="center" vertical="center"/>
      <protection locked="0"/>
    </xf>
    <xf numFmtId="0" fontId="6" fillId="0" borderId="17" xfId="0" applyFont="1" applyBorder="1" applyAlignment="1" applyProtection="1">
      <alignment horizontal="center" vertical="center"/>
      <protection locked="0"/>
    </xf>
    <xf numFmtId="0" fontId="6" fillId="0" borderId="14" xfId="0" applyFont="1" applyBorder="1" applyAlignment="1" applyProtection="1">
      <alignment horizontal="center" vertical="center" wrapText="1"/>
      <protection locked="0"/>
    </xf>
    <xf numFmtId="0" fontId="1" fillId="0" borderId="20" xfId="0" applyFont="1" applyBorder="1">
      <alignment vertical="center"/>
    </xf>
    <xf numFmtId="0" fontId="7" fillId="0" borderId="17" xfId="0" applyFont="1" applyBorder="1" applyAlignment="1" applyProtection="1">
      <alignment horizontal="center" vertical="center" wrapText="1"/>
      <protection locked="0"/>
    </xf>
    <xf numFmtId="0" fontId="1" fillId="0" borderId="23" xfId="0" applyFont="1" applyBorder="1">
      <alignment vertical="center"/>
    </xf>
    <xf numFmtId="0" fontId="6" fillId="0" borderId="25" xfId="0" applyFont="1" applyBorder="1" applyAlignment="1" applyProtection="1">
      <alignment horizontal="center" vertical="center"/>
      <protection locked="0"/>
    </xf>
    <xf numFmtId="0" fontId="1" fillId="0" borderId="9" xfId="0" applyFont="1" applyBorder="1" applyAlignment="1">
      <alignment horizontal="center" vertical="center" wrapText="1"/>
    </xf>
    <xf numFmtId="0" fontId="1" fillId="0" borderId="34" xfId="0" applyFont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 wrapText="1"/>
    </xf>
    <xf numFmtId="41" fontId="1" fillId="0" borderId="16" xfId="0" applyNumberFormat="1" applyFont="1" applyBorder="1" applyAlignment="1">
      <alignment horizontal="right" vertical="center" wrapText="1"/>
    </xf>
    <xf numFmtId="0" fontId="1" fillId="0" borderId="14" xfId="0" applyFont="1" applyBorder="1" applyAlignment="1">
      <alignment horizontal="center" vertical="center"/>
    </xf>
    <xf numFmtId="41" fontId="1" fillId="0" borderId="16" xfId="0" applyNumberFormat="1" applyFont="1" applyBorder="1" applyAlignment="1">
      <alignment horizontal="center" vertical="center"/>
    </xf>
    <xf numFmtId="41" fontId="1" fillId="0" borderId="40" xfId="0" applyNumberFormat="1" applyFont="1" applyBorder="1" applyAlignment="1">
      <alignment horizontal="center" vertical="center"/>
    </xf>
    <xf numFmtId="41" fontId="1" fillId="0" borderId="39" xfId="0" applyNumberFormat="1" applyFont="1" applyBorder="1" applyAlignment="1">
      <alignment horizontal="right" vertical="center"/>
    </xf>
    <xf numFmtId="0" fontId="11" fillId="0" borderId="14" xfId="0" applyFont="1" applyBorder="1">
      <alignment vertical="center"/>
    </xf>
    <xf numFmtId="41" fontId="0" fillId="0" borderId="14" xfId="0" applyNumberFormat="1" applyBorder="1">
      <alignment vertical="center"/>
    </xf>
    <xf numFmtId="41" fontId="11" fillId="0" borderId="14" xfId="0" applyNumberFormat="1" applyFont="1" applyBorder="1" applyAlignment="1">
      <alignment horizontal="center" vertical="center"/>
    </xf>
    <xf numFmtId="41" fontId="0" fillId="0" borderId="0" xfId="0" applyNumberFormat="1">
      <alignment vertical="center"/>
    </xf>
    <xf numFmtId="0" fontId="10" fillId="3" borderId="14" xfId="0" applyFont="1" applyFill="1" applyBorder="1" applyAlignment="1">
      <alignment horizontal="center" vertical="center"/>
    </xf>
    <xf numFmtId="41" fontId="10" fillId="3" borderId="14" xfId="0" applyNumberFormat="1" applyFont="1" applyFill="1" applyBorder="1" applyAlignment="1">
      <alignment horizontal="center" vertical="center"/>
    </xf>
    <xf numFmtId="181" fontId="1" fillId="0" borderId="7" xfId="0" applyNumberFormat="1" applyFont="1" applyBorder="1" applyAlignment="1">
      <alignment horizontal="center"/>
    </xf>
    <xf numFmtId="3" fontId="1" fillId="0" borderId="1" xfId="0" applyNumberFormat="1" applyFont="1" applyBorder="1" applyAlignment="1">
      <alignment vertical="top" wrapText="1"/>
    </xf>
    <xf numFmtId="3" fontId="1" fillId="0" borderId="2" xfId="0" applyNumberFormat="1" applyFont="1" applyBorder="1" applyAlignment="1">
      <alignment vertical="top"/>
    </xf>
    <xf numFmtId="3" fontId="1" fillId="0" borderId="3" xfId="0" applyNumberFormat="1" applyFont="1" applyBorder="1" applyAlignment="1">
      <alignment vertical="top"/>
    </xf>
    <xf numFmtId="3" fontId="1" fillId="0" borderId="21" xfId="0" applyNumberFormat="1" applyFont="1" applyBorder="1" applyAlignment="1">
      <alignment vertical="top"/>
    </xf>
    <xf numFmtId="3" fontId="1" fillId="0" borderId="22" xfId="0" applyNumberFormat="1" applyFont="1" applyBorder="1" applyAlignment="1">
      <alignment vertical="top"/>
    </xf>
    <xf numFmtId="3" fontId="1" fillId="0" borderId="23" xfId="0" applyNumberFormat="1" applyFont="1" applyBorder="1" applyAlignment="1">
      <alignment vertical="top"/>
    </xf>
    <xf numFmtId="0" fontId="1" fillId="0" borderId="36" xfId="0" applyFont="1" applyBorder="1" applyAlignment="1">
      <alignment horizontal="left" vertical="center" shrinkToFit="1"/>
    </xf>
    <xf numFmtId="0" fontId="1" fillId="0" borderId="37" xfId="0" applyFont="1" applyBorder="1" applyAlignment="1">
      <alignment horizontal="left" vertical="center" shrinkToFit="1"/>
    </xf>
    <xf numFmtId="41" fontId="1" fillId="0" borderId="15" xfId="0" applyNumberFormat="1" applyFont="1" applyBorder="1" applyAlignment="1">
      <alignment horizontal="right" vertical="center" indent="1"/>
    </xf>
    <xf numFmtId="41" fontId="1" fillId="0" borderId="16" xfId="0" applyNumberFormat="1" applyFont="1" applyBorder="1" applyAlignment="1">
      <alignment horizontal="right" vertical="center" indent="1"/>
    </xf>
    <xf numFmtId="0" fontId="1" fillId="0" borderId="15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38" xfId="0" applyFont="1" applyBorder="1" applyAlignment="1">
      <alignment horizontal="center" vertical="center"/>
    </xf>
    <xf numFmtId="0" fontId="1" fillId="0" borderId="39" xfId="0" applyFont="1" applyBorder="1" applyAlignment="1">
      <alignment horizontal="center" vertical="center"/>
    </xf>
    <xf numFmtId="41" fontId="1" fillId="0" borderId="30" xfId="0" applyNumberFormat="1" applyFont="1" applyBorder="1" applyAlignment="1">
      <alignment horizontal="right" vertical="center" indent="1"/>
    </xf>
    <xf numFmtId="41" fontId="1" fillId="0" borderId="39" xfId="0" applyNumberFormat="1" applyFont="1" applyBorder="1" applyAlignment="1">
      <alignment horizontal="right" vertical="center" indent="1"/>
    </xf>
    <xf numFmtId="178" fontId="8" fillId="0" borderId="30" xfId="0" applyNumberFormat="1" applyFont="1" applyBorder="1" applyAlignment="1">
      <alignment horizontal="center" vertical="center"/>
    </xf>
    <xf numFmtId="178" fontId="8" fillId="0" borderId="32" xfId="0" applyNumberFormat="1" applyFont="1" applyBorder="1" applyAlignment="1">
      <alignment horizontal="center" vertical="center"/>
    </xf>
    <xf numFmtId="0" fontId="1" fillId="0" borderId="35" xfId="0" applyFont="1" applyBorder="1" applyAlignment="1">
      <alignment horizontal="left" vertical="center" wrapText="1" shrinkToFit="1"/>
    </xf>
    <xf numFmtId="0" fontId="1" fillId="0" borderId="16" xfId="0" applyFont="1" applyBorder="1" applyAlignment="1">
      <alignment horizontal="left" vertical="center" wrapText="1" shrinkToFit="1"/>
    </xf>
    <xf numFmtId="41" fontId="1" fillId="0" borderId="14" xfId="0" applyNumberFormat="1" applyFont="1" applyBorder="1" applyAlignment="1">
      <alignment horizontal="right" vertical="center" wrapText="1"/>
    </xf>
    <xf numFmtId="41" fontId="1" fillId="0" borderId="15" xfId="0" applyNumberFormat="1" applyFont="1" applyBorder="1" applyAlignment="1">
      <alignment horizontal="right" vertical="center" wrapText="1"/>
    </xf>
    <xf numFmtId="41" fontId="1" fillId="0" borderId="16" xfId="0" applyNumberFormat="1" applyFont="1" applyBorder="1" applyAlignment="1">
      <alignment horizontal="right" vertical="center" wrapText="1"/>
    </xf>
    <xf numFmtId="0" fontId="1" fillId="0" borderId="15" xfId="0" applyFont="1" applyBorder="1" applyAlignment="1">
      <alignment horizontal="center" vertical="center" wrapText="1"/>
    </xf>
    <xf numFmtId="0" fontId="1" fillId="0" borderId="19" xfId="0" applyFont="1" applyBorder="1" applyAlignment="1">
      <alignment horizontal="center" vertical="center" wrapText="1"/>
    </xf>
    <xf numFmtId="0" fontId="1" fillId="0" borderId="35" xfId="0" applyFont="1" applyBorder="1" applyAlignment="1">
      <alignment horizontal="left" vertical="center" shrinkToFit="1"/>
    </xf>
    <xf numFmtId="0" fontId="1" fillId="0" borderId="16" xfId="0" applyFont="1" applyBorder="1" applyAlignment="1">
      <alignment horizontal="left" vertical="center" shrinkToFit="1"/>
    </xf>
    <xf numFmtId="177" fontId="8" fillId="0" borderId="15" xfId="0" applyNumberFormat="1" applyFont="1" applyBorder="1" applyAlignment="1">
      <alignment horizontal="center" vertical="center"/>
    </xf>
    <xf numFmtId="177" fontId="8" fillId="0" borderId="19" xfId="0" applyNumberFormat="1" applyFont="1" applyBorder="1" applyAlignment="1">
      <alignment horizontal="center" vertical="center"/>
    </xf>
    <xf numFmtId="41" fontId="1" fillId="0" borderId="15" xfId="0" applyNumberFormat="1" applyFont="1" applyBorder="1" applyAlignment="1">
      <alignment horizontal="center" vertical="center" wrapText="1"/>
    </xf>
    <xf numFmtId="41" fontId="1" fillId="0" borderId="16" xfId="0" applyNumberFormat="1" applyFont="1" applyBorder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 wrapText="1"/>
    </xf>
    <xf numFmtId="0" fontId="1" fillId="2" borderId="29" xfId="0" applyFont="1" applyFill="1" applyBorder="1" applyAlignment="1">
      <alignment horizontal="center" vertical="center"/>
    </xf>
    <xf numFmtId="179" fontId="5" fillId="2" borderId="30" xfId="0" applyNumberFormat="1" applyFont="1" applyFill="1" applyBorder="1" applyAlignment="1">
      <alignment horizontal="right" vertical="center"/>
    </xf>
    <xf numFmtId="179" fontId="5" fillId="2" borderId="31" xfId="0" applyNumberFormat="1" applyFont="1" applyFill="1" applyBorder="1" applyAlignment="1">
      <alignment horizontal="right" vertical="center"/>
    </xf>
    <xf numFmtId="180" fontId="5" fillId="2" borderId="31" xfId="0" applyNumberFormat="1" applyFont="1" applyFill="1" applyBorder="1" applyAlignment="1">
      <alignment horizontal="left" vertical="center"/>
    </xf>
    <xf numFmtId="180" fontId="5" fillId="2" borderId="32" xfId="0" applyNumberFormat="1" applyFont="1" applyFill="1" applyBorder="1" applyAlignment="1">
      <alignment horizontal="left" vertical="center"/>
    </xf>
    <xf numFmtId="0" fontId="1" fillId="0" borderId="33" xfId="0" applyFont="1" applyBorder="1" applyAlignment="1">
      <alignment horizontal="center" vertical="center" wrapText="1"/>
    </xf>
    <xf numFmtId="0" fontId="1" fillId="0" borderId="34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1" fillId="0" borderId="12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/>
    </xf>
    <xf numFmtId="0" fontId="6" fillId="0" borderId="8" xfId="0" applyFont="1" applyBorder="1" applyAlignment="1" applyProtection="1">
      <alignment horizontal="center" vertical="center" wrapText="1"/>
      <protection locked="0"/>
    </xf>
    <xf numFmtId="0" fontId="6" fillId="0" borderId="13" xfId="0" applyFont="1" applyBorder="1" applyAlignment="1" applyProtection="1">
      <alignment horizontal="center" vertical="center"/>
      <protection locked="0"/>
    </xf>
    <xf numFmtId="0" fontId="6" fillId="0" borderId="24" xfId="0" applyFont="1" applyBorder="1" applyAlignment="1" applyProtection="1">
      <alignment horizontal="center" vertical="center"/>
      <protection locked="0"/>
    </xf>
    <xf numFmtId="0" fontId="1" fillId="0" borderId="10" xfId="0" applyFont="1" applyBorder="1" applyAlignment="1" applyProtection="1">
      <alignment horizontal="center" vertical="center"/>
      <protection locked="0"/>
    </xf>
    <xf numFmtId="0" fontId="1" fillId="0" borderId="11" xfId="0" applyFont="1" applyBorder="1" applyAlignment="1" applyProtection="1">
      <alignment horizontal="center" vertical="center"/>
      <protection locked="0"/>
    </xf>
    <xf numFmtId="0" fontId="1" fillId="0" borderId="12" xfId="0" applyFont="1" applyBorder="1" applyAlignment="1" applyProtection="1">
      <alignment horizontal="center" vertical="center"/>
      <protection locked="0"/>
    </xf>
    <xf numFmtId="0" fontId="6" fillId="0" borderId="15" xfId="0" applyFont="1" applyBorder="1" applyAlignment="1" applyProtection="1">
      <alignment horizontal="center" vertical="center"/>
      <protection locked="0"/>
    </xf>
    <xf numFmtId="0" fontId="6" fillId="0" borderId="16" xfId="0" applyFont="1" applyBorder="1" applyAlignment="1" applyProtection="1">
      <alignment horizontal="center" vertical="center"/>
      <protection locked="0"/>
    </xf>
    <xf numFmtId="0" fontId="7" fillId="0" borderId="15" xfId="0" applyFont="1" applyBorder="1" applyAlignment="1" applyProtection="1">
      <alignment horizontal="center" vertical="center" wrapText="1"/>
      <protection locked="0"/>
    </xf>
    <xf numFmtId="0" fontId="7" fillId="0" borderId="18" xfId="0" applyFont="1" applyBorder="1" applyAlignment="1" applyProtection="1">
      <alignment horizontal="center" vertical="center" wrapText="1"/>
      <protection locked="0"/>
    </xf>
    <xf numFmtId="0" fontId="7" fillId="0" borderId="19" xfId="0" applyFont="1" applyBorder="1" applyAlignment="1" applyProtection="1">
      <alignment horizontal="center" vertical="center" wrapText="1"/>
      <protection locked="0"/>
    </xf>
    <xf numFmtId="0" fontId="6" fillId="0" borderId="15" xfId="0" applyFont="1" applyBorder="1" applyAlignment="1" applyProtection="1">
      <alignment horizontal="center" vertical="center" wrapText="1"/>
      <protection locked="0"/>
    </xf>
    <xf numFmtId="0" fontId="6" fillId="0" borderId="16" xfId="0" applyFont="1" applyBorder="1" applyAlignment="1" applyProtection="1">
      <alignment horizontal="center" vertical="center" wrapText="1"/>
      <protection locked="0"/>
    </xf>
    <xf numFmtId="0" fontId="1" fillId="0" borderId="21" xfId="0" applyFont="1" applyBorder="1" applyAlignment="1">
      <alignment horizontal="left"/>
    </xf>
    <xf numFmtId="0" fontId="1" fillId="0" borderId="22" xfId="0" applyFont="1" applyBorder="1" applyAlignment="1">
      <alignment horizontal="left"/>
    </xf>
    <xf numFmtId="0" fontId="6" fillId="0" borderId="26" xfId="0" applyFont="1" applyBorder="1" applyAlignment="1" applyProtection="1">
      <alignment horizontal="center" vertical="center"/>
      <protection locked="0"/>
    </xf>
    <xf numFmtId="0" fontId="6" fillId="0" borderId="27" xfId="0" applyFont="1" applyBorder="1" applyAlignment="1" applyProtection="1">
      <alignment horizontal="center" vertical="center"/>
      <protection locked="0"/>
    </xf>
    <xf numFmtId="0" fontId="6" fillId="0" borderId="28" xfId="0" applyFont="1" applyBorder="1" applyAlignment="1" applyProtection="1">
      <alignment horizontal="center" vertical="center"/>
      <protection locked="0"/>
    </xf>
    <xf numFmtId="0" fontId="9" fillId="0" borderId="0" xfId="0" applyFon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402771</xdr:colOff>
          <xdr:row>1</xdr:row>
          <xdr:rowOff>141514</xdr:rowOff>
        </xdr:from>
        <xdr:to>
          <xdr:col>1</xdr:col>
          <xdr:colOff>2356757</xdr:colOff>
          <xdr:row>3</xdr:row>
          <xdr:rowOff>185057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도서검색 및 견적서 입력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104775</xdr:colOff>
      <xdr:row>2</xdr:row>
      <xdr:rowOff>142875</xdr:rowOff>
    </xdr:from>
    <xdr:to>
      <xdr:col>3</xdr:col>
      <xdr:colOff>314325</xdr:colOff>
      <xdr:row>20</xdr:row>
      <xdr:rowOff>114300</xdr:rowOff>
    </xdr:to>
    <xdr:sp macro="" textlink="">
      <xdr:nvSpPr>
        <xdr:cNvPr id="2" name="오른쪽 중괄호 1">
          <a:extLst>
            <a:ext uri="{FF2B5EF4-FFF2-40B4-BE49-F238E27FC236}">
              <a16:creationId xmlns:a16="http://schemas.microsoft.com/office/drawing/2014/main" id="{33F6A94F-F22E-B04F-DB29-64B281CBE6BF}"/>
            </a:ext>
          </a:extLst>
        </xdr:cNvPr>
        <xdr:cNvSpPr/>
      </xdr:nvSpPr>
      <xdr:spPr>
        <a:xfrm>
          <a:off x="3971925" y="742950"/>
          <a:ext cx="895350" cy="4772025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495301</xdr:colOff>
      <xdr:row>10</xdr:row>
      <xdr:rowOff>85726</xdr:rowOff>
    </xdr:from>
    <xdr:to>
      <xdr:col>5</xdr:col>
      <xdr:colOff>352425</xdr:colOff>
      <xdr:row>13</xdr:row>
      <xdr:rowOff>66676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DEA090E2-F1C2-C4BB-8203-F5468F06BF82}"/>
            </a:ext>
          </a:extLst>
        </xdr:cNvPr>
        <xdr:cNvSpPr txBox="1"/>
      </xdr:nvSpPr>
      <xdr:spPr>
        <a:xfrm>
          <a:off x="5048251" y="2819401"/>
          <a:ext cx="1228724" cy="7810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200"/>
            <a:t>이름정의 </a:t>
          </a:r>
          <a:r>
            <a:rPr lang="en-US" altLang="ko-KR" sz="1200"/>
            <a:t>: </a:t>
          </a:r>
        </a:p>
        <a:p>
          <a:r>
            <a:rPr lang="ko-KR" altLang="en-US" sz="1200"/>
            <a:t>단가표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442870-DED9-40D1-8F06-B3B2F8165005}">
  <sheetPr codeName="Sheet1">
    <pageSetUpPr fitToPage="1"/>
  </sheetPr>
  <dimension ref="B1:K26"/>
  <sheetViews>
    <sheetView showGridLines="0" showZeros="0" tabSelected="1" zoomScaleNormal="100" zoomScaleSheetLayoutView="85" workbookViewId="0">
      <selection activeCell="N9" sqref="N9"/>
    </sheetView>
  </sheetViews>
  <sheetFormatPr defaultColWidth="9" defaultRowHeight="17.600000000000001"/>
  <cols>
    <col min="1" max="1" width="0.85546875" style="1" customWidth="1"/>
    <col min="2" max="2" width="32.140625" style="1" customWidth="1"/>
    <col min="3" max="3" width="7.85546875" style="2" customWidth="1"/>
    <col min="4" max="4" width="8.7109375" style="1" customWidth="1"/>
    <col min="5" max="5" width="4.2109375" style="1" customWidth="1"/>
    <col min="6" max="6" width="5.140625" style="1" customWidth="1"/>
    <col min="7" max="7" width="8.2109375" style="1" customWidth="1"/>
    <col min="8" max="8" width="2.2109375" style="1" customWidth="1"/>
    <col min="9" max="9" width="9" style="1" customWidth="1"/>
    <col min="10" max="10" width="6.85546875" style="1" customWidth="1"/>
    <col min="11" max="11" width="8.140625" style="1" customWidth="1"/>
    <col min="12" max="12" width="4.640625" style="1" customWidth="1"/>
    <col min="13" max="16384" width="9" style="1"/>
  </cols>
  <sheetData>
    <row r="1" spans="2:11" ht="13.5" customHeight="1" thickBot="1"/>
    <row r="2" spans="2:11" ht="26.25" customHeight="1">
      <c r="B2" s="3"/>
      <c r="C2" s="4"/>
      <c r="D2" s="5"/>
      <c r="E2" s="5"/>
      <c r="F2" s="5"/>
      <c r="G2" s="5"/>
      <c r="H2" s="5"/>
      <c r="I2" s="5"/>
      <c r="J2" s="5"/>
      <c r="K2" s="6"/>
    </row>
    <row r="3" spans="2:11" ht="26.25" customHeight="1" thickBot="1">
      <c r="B3" s="7"/>
      <c r="C3" s="8"/>
      <c r="D3" s="79" t="s">
        <v>11</v>
      </c>
      <c r="E3" s="79"/>
      <c r="F3" s="79"/>
      <c r="G3" s="79"/>
      <c r="H3" s="79"/>
      <c r="K3" s="9"/>
    </row>
    <row r="4" spans="2:11" ht="15.75" customHeight="1" thickTop="1">
      <c r="B4" s="7"/>
      <c r="D4" s="10"/>
      <c r="E4" s="10"/>
      <c r="F4" s="10"/>
      <c r="G4" s="10"/>
      <c r="H4" s="11"/>
      <c r="K4" s="9"/>
    </row>
    <row r="5" spans="2:11" ht="15.75" customHeight="1" thickBot="1">
      <c r="B5" s="7"/>
      <c r="K5" s="9"/>
    </row>
    <row r="6" spans="2:11" ht="26.25" customHeight="1">
      <c r="B6" s="12">
        <f ca="1">TODAY()</f>
        <v>45267</v>
      </c>
      <c r="F6" s="80" t="s">
        <v>0</v>
      </c>
      <c r="G6" s="13" t="s">
        <v>1</v>
      </c>
      <c r="H6" s="83" t="s">
        <v>12</v>
      </c>
      <c r="I6" s="84"/>
      <c r="J6" s="84"/>
      <c r="K6" s="85"/>
    </row>
    <row r="7" spans="2:11" ht="26.25" customHeight="1">
      <c r="B7" s="7"/>
      <c r="D7" s="11"/>
      <c r="E7" s="14"/>
      <c r="F7" s="81"/>
      <c r="G7" s="15" t="s">
        <v>2</v>
      </c>
      <c r="H7" s="86" t="s">
        <v>13</v>
      </c>
      <c r="I7" s="87"/>
      <c r="J7" s="15" t="s">
        <v>22</v>
      </c>
      <c r="K7" s="16" t="s">
        <v>14</v>
      </c>
    </row>
    <row r="8" spans="2:11" ht="26.25" customHeight="1">
      <c r="B8" s="36" t="s">
        <v>42</v>
      </c>
      <c r="D8" s="11"/>
      <c r="E8" s="14"/>
      <c r="F8" s="81"/>
      <c r="G8" s="17" t="s">
        <v>3</v>
      </c>
      <c r="H8" s="88" t="s">
        <v>15</v>
      </c>
      <c r="I8" s="89"/>
      <c r="J8" s="89"/>
      <c r="K8" s="90"/>
    </row>
    <row r="9" spans="2:11" ht="26.25" customHeight="1">
      <c r="B9" s="18"/>
      <c r="D9" s="11"/>
      <c r="E9" s="9"/>
      <c r="F9" s="81"/>
      <c r="G9" s="15" t="s">
        <v>4</v>
      </c>
      <c r="H9" s="91" t="s">
        <v>16</v>
      </c>
      <c r="I9" s="92"/>
      <c r="J9" s="15" t="s">
        <v>23</v>
      </c>
      <c r="K9" s="19" t="s">
        <v>17</v>
      </c>
    </row>
    <row r="10" spans="2:11" ht="26.25" customHeight="1" thickBot="1">
      <c r="B10" s="93" t="s">
        <v>5</v>
      </c>
      <c r="C10" s="94"/>
      <c r="D10" s="94"/>
      <c r="E10" s="20"/>
      <c r="F10" s="82"/>
      <c r="G10" s="21" t="s">
        <v>18</v>
      </c>
      <c r="H10" s="95"/>
      <c r="I10" s="96"/>
      <c r="J10" s="96"/>
      <c r="K10" s="97"/>
    </row>
    <row r="11" spans="2:11" ht="35.25" customHeight="1" thickBot="1">
      <c r="B11" s="68" t="s">
        <v>6</v>
      </c>
      <c r="C11" s="69"/>
      <c r="D11" s="70">
        <f>G24+I24</f>
        <v>177760</v>
      </c>
      <c r="E11" s="71"/>
      <c r="F11" s="71"/>
      <c r="G11" s="72">
        <f>D11</f>
        <v>177760</v>
      </c>
      <c r="H11" s="72"/>
      <c r="I11" s="72"/>
      <c r="J11" s="72"/>
      <c r="K11" s="73"/>
    </row>
    <row r="12" spans="2:11" ht="27.75" customHeight="1">
      <c r="B12" s="74" t="s">
        <v>39</v>
      </c>
      <c r="C12" s="75"/>
      <c r="D12" s="22" t="s">
        <v>40</v>
      </c>
      <c r="E12" s="76" t="s">
        <v>46</v>
      </c>
      <c r="F12" s="76"/>
      <c r="G12" s="77" t="s">
        <v>7</v>
      </c>
      <c r="H12" s="75"/>
      <c r="I12" s="23" t="s">
        <v>8</v>
      </c>
      <c r="J12" s="77" t="s">
        <v>9</v>
      </c>
      <c r="K12" s="78"/>
    </row>
    <row r="13" spans="2:11" ht="27.75" customHeight="1">
      <c r="B13" s="55" t="s">
        <v>47</v>
      </c>
      <c r="C13" s="56"/>
      <c r="D13" s="24">
        <v>2</v>
      </c>
      <c r="E13" s="58">
        <v>18000</v>
      </c>
      <c r="F13" s="59"/>
      <c r="G13" s="58">
        <f>E13*D13</f>
        <v>36000</v>
      </c>
      <c r="H13" s="59"/>
      <c r="I13" s="25">
        <f>G13*10%</f>
        <v>3600</v>
      </c>
      <c r="J13" s="60" t="s">
        <v>48</v>
      </c>
      <c r="K13" s="61"/>
    </row>
    <row r="14" spans="2:11" ht="27.75" customHeight="1">
      <c r="B14" s="55" t="s">
        <v>47</v>
      </c>
      <c r="C14" s="56"/>
      <c r="D14" s="24">
        <v>2</v>
      </c>
      <c r="E14" s="58">
        <v>18000</v>
      </c>
      <c r="F14" s="59"/>
      <c r="G14" s="58">
        <f>E14*D14</f>
        <v>36000</v>
      </c>
      <c r="H14" s="59"/>
      <c r="I14" s="25">
        <f>G14*10%</f>
        <v>3600</v>
      </c>
      <c r="J14" s="60" t="s">
        <v>48</v>
      </c>
      <c r="K14" s="61"/>
    </row>
    <row r="15" spans="2:11" ht="27.75" customHeight="1">
      <c r="B15" s="55" t="s">
        <v>49</v>
      </c>
      <c r="C15" s="56"/>
      <c r="D15" s="24">
        <v>2</v>
      </c>
      <c r="E15" s="58">
        <v>19800</v>
      </c>
      <c r="F15" s="59"/>
      <c r="G15" s="58">
        <f>E15*D15</f>
        <v>39600</v>
      </c>
      <c r="H15" s="59"/>
      <c r="I15" s="25">
        <f>G15*10%</f>
        <v>3960</v>
      </c>
      <c r="J15" s="60" t="s">
        <v>48</v>
      </c>
      <c r="K15" s="61"/>
    </row>
    <row r="16" spans="2:11" ht="27.75" customHeight="1">
      <c r="B16" s="55" t="s">
        <v>50</v>
      </c>
      <c r="C16" s="56"/>
      <c r="D16" s="24">
        <v>2</v>
      </c>
      <c r="E16" s="58">
        <v>25000</v>
      </c>
      <c r="F16" s="59"/>
      <c r="G16" s="58">
        <f>E16*D16</f>
        <v>50000</v>
      </c>
      <c r="H16" s="59"/>
      <c r="I16" s="25">
        <f>G16*10%</f>
        <v>5000</v>
      </c>
      <c r="J16" s="60" t="s">
        <v>51</v>
      </c>
      <c r="K16" s="61"/>
    </row>
    <row r="17" spans="2:11" ht="27.75" customHeight="1">
      <c r="B17" s="55"/>
      <c r="C17" s="56"/>
      <c r="D17" s="24"/>
      <c r="E17" s="66"/>
      <c r="F17" s="67"/>
      <c r="G17" s="58"/>
      <c r="H17" s="59"/>
      <c r="I17" s="25"/>
      <c r="J17" s="60"/>
      <c r="K17" s="61"/>
    </row>
    <row r="18" spans="2:11" ht="27.75" customHeight="1">
      <c r="B18" s="55"/>
      <c r="C18" s="56"/>
      <c r="D18" s="24"/>
      <c r="E18" s="66"/>
      <c r="F18" s="67"/>
      <c r="G18" s="58"/>
      <c r="H18" s="59"/>
      <c r="I18" s="25"/>
      <c r="J18" s="60"/>
      <c r="K18" s="61"/>
    </row>
    <row r="19" spans="2:11" ht="27.75" customHeight="1">
      <c r="B19" s="55"/>
      <c r="C19" s="56"/>
      <c r="D19" s="24"/>
      <c r="E19" s="66"/>
      <c r="F19" s="67"/>
      <c r="G19" s="58"/>
      <c r="H19" s="59"/>
      <c r="I19" s="25"/>
      <c r="J19" s="60"/>
      <c r="K19" s="61"/>
    </row>
    <row r="20" spans="2:11" ht="27.75" customHeight="1">
      <c r="B20" s="55"/>
      <c r="C20" s="56"/>
      <c r="D20" s="24"/>
      <c r="E20" s="66"/>
      <c r="F20" s="67"/>
      <c r="G20" s="58"/>
      <c r="H20" s="59"/>
      <c r="I20" s="25"/>
      <c r="J20" s="60"/>
      <c r="K20" s="61"/>
    </row>
    <row r="21" spans="2:11" ht="27.75" customHeight="1">
      <c r="B21" s="55"/>
      <c r="C21" s="56"/>
      <c r="D21" s="24"/>
      <c r="E21" s="57"/>
      <c r="F21" s="57"/>
      <c r="G21" s="58"/>
      <c r="H21" s="59"/>
      <c r="I21" s="25"/>
      <c r="J21" s="60"/>
      <c r="K21" s="61"/>
    </row>
    <row r="22" spans="2:11" ht="27.75" customHeight="1">
      <c r="B22" s="62"/>
      <c r="C22" s="63"/>
      <c r="D22" s="26"/>
      <c r="E22" s="45"/>
      <c r="F22" s="46"/>
      <c r="G22" s="45"/>
      <c r="H22" s="46"/>
      <c r="I22" s="27"/>
      <c r="J22" s="64"/>
      <c r="K22" s="65"/>
    </row>
    <row r="23" spans="2:11" ht="27.75" customHeight="1" thickBot="1">
      <c r="B23" s="43"/>
      <c r="C23" s="44"/>
      <c r="D23" s="26"/>
      <c r="E23" s="45"/>
      <c r="F23" s="46"/>
      <c r="G23" s="45"/>
      <c r="H23" s="46"/>
      <c r="I23" s="27"/>
      <c r="J23" s="47"/>
      <c r="K23" s="48"/>
    </row>
    <row r="24" spans="2:11" ht="27.75" customHeight="1" thickBot="1">
      <c r="B24" s="49" t="s">
        <v>6</v>
      </c>
      <c r="C24" s="50"/>
      <c r="D24" s="28"/>
      <c r="E24" s="51"/>
      <c r="F24" s="52"/>
      <c r="G24" s="51">
        <f>SUM(G13:H23)</f>
        <v>161600</v>
      </c>
      <c r="H24" s="52"/>
      <c r="I24" s="29">
        <f>SUM(I13:I23)</f>
        <v>16160</v>
      </c>
      <c r="J24" s="53"/>
      <c r="K24" s="54"/>
    </row>
    <row r="25" spans="2:11" ht="21" customHeight="1">
      <c r="B25" s="37" t="s">
        <v>10</v>
      </c>
      <c r="C25" s="38"/>
      <c r="D25" s="38"/>
      <c r="E25" s="38"/>
      <c r="F25" s="38"/>
      <c r="G25" s="38"/>
      <c r="H25" s="38"/>
      <c r="I25" s="38"/>
      <c r="J25" s="38"/>
      <c r="K25" s="39"/>
    </row>
    <row r="26" spans="2:11" ht="12" customHeight="1" thickBot="1">
      <c r="B26" s="40"/>
      <c r="C26" s="41"/>
      <c r="D26" s="41"/>
      <c r="E26" s="41"/>
      <c r="F26" s="41"/>
      <c r="G26" s="41"/>
      <c r="H26" s="41"/>
      <c r="I26" s="41"/>
      <c r="J26" s="41"/>
      <c r="K26" s="42"/>
    </row>
  </sheetData>
  <mergeCells count="64">
    <mergeCell ref="D3:H3"/>
    <mergeCell ref="F6:F10"/>
    <mergeCell ref="H6:K6"/>
    <mergeCell ref="H7:I7"/>
    <mergeCell ref="H8:K8"/>
    <mergeCell ref="H9:I9"/>
    <mergeCell ref="B10:D10"/>
    <mergeCell ref="H10:K10"/>
    <mergeCell ref="B11:C11"/>
    <mergeCell ref="D11:F11"/>
    <mergeCell ref="G11:K11"/>
    <mergeCell ref="B12:C12"/>
    <mergeCell ref="E12:F12"/>
    <mergeCell ref="G12:H12"/>
    <mergeCell ref="J12:K12"/>
    <mergeCell ref="B13:C13"/>
    <mergeCell ref="E13:F13"/>
    <mergeCell ref="G13:H13"/>
    <mergeCell ref="J13:K13"/>
    <mergeCell ref="B14:C14"/>
    <mergeCell ref="E14:F14"/>
    <mergeCell ref="G14:H14"/>
    <mergeCell ref="J14:K14"/>
    <mergeCell ref="B15:C15"/>
    <mergeCell ref="E15:F15"/>
    <mergeCell ref="G15:H15"/>
    <mergeCell ref="J15:K15"/>
    <mergeCell ref="B16:C16"/>
    <mergeCell ref="E16:F16"/>
    <mergeCell ref="G16:H16"/>
    <mergeCell ref="J16:K16"/>
    <mergeCell ref="B17:C17"/>
    <mergeCell ref="E17:F17"/>
    <mergeCell ref="G17:H17"/>
    <mergeCell ref="J17:K17"/>
    <mergeCell ref="B18:C18"/>
    <mergeCell ref="E18:F18"/>
    <mergeCell ref="G18:H18"/>
    <mergeCell ref="J18:K18"/>
    <mergeCell ref="B19:C19"/>
    <mergeCell ref="E19:F19"/>
    <mergeCell ref="G19:H19"/>
    <mergeCell ref="J19:K19"/>
    <mergeCell ref="B20:C20"/>
    <mergeCell ref="E20:F20"/>
    <mergeCell ref="G20:H20"/>
    <mergeCell ref="J20:K20"/>
    <mergeCell ref="B21:C21"/>
    <mergeCell ref="E21:F21"/>
    <mergeCell ref="G21:H21"/>
    <mergeCell ref="J21:K21"/>
    <mergeCell ref="B22:C22"/>
    <mergeCell ref="E22:F22"/>
    <mergeCell ref="G22:H22"/>
    <mergeCell ref="J22:K22"/>
    <mergeCell ref="B25:K26"/>
    <mergeCell ref="B23:C23"/>
    <mergeCell ref="E23:F23"/>
    <mergeCell ref="G23:H23"/>
    <mergeCell ref="J23:K23"/>
    <mergeCell ref="B24:C24"/>
    <mergeCell ref="E24:F24"/>
    <mergeCell ref="G24:H24"/>
    <mergeCell ref="J24:K24"/>
  </mergeCells>
  <phoneticPr fontId="2" type="noConversion"/>
  <printOptions horizontalCentered="1"/>
  <pageMargins left="0.70866141732283472" right="0.70866141732283472" top="0.74803149606299213" bottom="0.74803149606299213" header="0.31496062992125984" footer="0.31496062992125984"/>
  <pageSetup paperSize="9" scale="87" fitToHeight="0" orientation="portrait" horizontalDpi="4294967293" verticalDpi="4294967293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폼실행">
                <anchor moveWithCells="1" sizeWithCells="1">
                  <from>
                    <xdr:col>1</xdr:col>
                    <xdr:colOff>402771</xdr:colOff>
                    <xdr:row>1</xdr:row>
                    <xdr:rowOff>141514</xdr:rowOff>
                  </from>
                  <to>
                    <xdr:col>1</xdr:col>
                    <xdr:colOff>2356757</xdr:colOff>
                    <xdr:row>3</xdr:row>
                    <xdr:rowOff>185057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F5DA20-BA4A-470D-80FC-A5EB4C84370B}">
  <sheetPr codeName="Sheet2"/>
  <dimension ref="A1:B21"/>
  <sheetViews>
    <sheetView showGridLines="0" workbookViewId="0">
      <selection activeCell="I11" sqref="I11"/>
    </sheetView>
  </sheetViews>
  <sheetFormatPr defaultRowHeight="17.600000000000001"/>
  <cols>
    <col min="1" max="1" width="38.140625" customWidth="1"/>
    <col min="2" max="2" width="12.640625" style="33" customWidth="1"/>
  </cols>
  <sheetData>
    <row r="1" spans="1:2" ht="27">
      <c r="A1" s="98" t="s">
        <v>19</v>
      </c>
      <c r="B1" s="98"/>
    </row>
    <row r="2" spans="1:2" ht="21" customHeight="1">
      <c r="A2" s="34" t="s">
        <v>20</v>
      </c>
      <c r="B2" s="35" t="s">
        <v>21</v>
      </c>
    </row>
    <row r="3" spans="1:2" ht="21" customHeight="1">
      <c r="A3" s="30" t="s">
        <v>45</v>
      </c>
      <c r="B3" s="31">
        <v>22000</v>
      </c>
    </row>
    <row r="4" spans="1:2" ht="21" customHeight="1">
      <c r="A4" s="30" t="s">
        <v>24</v>
      </c>
      <c r="B4" s="31">
        <v>26000</v>
      </c>
    </row>
    <row r="5" spans="1:2" ht="21" customHeight="1">
      <c r="A5" s="30" t="s">
        <v>25</v>
      </c>
      <c r="B5" s="32">
        <v>18000</v>
      </c>
    </row>
    <row r="6" spans="1:2" ht="21" customHeight="1">
      <c r="A6" s="30" t="s">
        <v>26</v>
      </c>
      <c r="B6" s="32">
        <v>32000</v>
      </c>
    </row>
    <row r="7" spans="1:2" ht="21" customHeight="1">
      <c r="A7" s="30" t="s">
        <v>43</v>
      </c>
      <c r="B7" s="32">
        <v>24000</v>
      </c>
    </row>
    <row r="8" spans="1:2" ht="21" customHeight="1">
      <c r="A8" s="30" t="s">
        <v>27</v>
      </c>
      <c r="B8" s="32">
        <v>25000</v>
      </c>
    </row>
    <row r="9" spans="1:2" ht="21" customHeight="1">
      <c r="A9" s="30" t="s">
        <v>28</v>
      </c>
      <c r="B9" s="32">
        <v>33000</v>
      </c>
    </row>
    <row r="10" spans="1:2" ht="21" customHeight="1">
      <c r="A10" s="30" t="s">
        <v>29</v>
      </c>
      <c r="B10" s="32">
        <v>24000</v>
      </c>
    </row>
    <row r="11" spans="1:2" ht="21" customHeight="1">
      <c r="A11" s="30" t="s">
        <v>30</v>
      </c>
      <c r="B11" s="32">
        <v>19800</v>
      </c>
    </row>
    <row r="12" spans="1:2" ht="21" customHeight="1">
      <c r="A12" s="30" t="s">
        <v>44</v>
      </c>
      <c r="B12" s="32">
        <v>22000</v>
      </c>
    </row>
    <row r="13" spans="1:2" ht="21" customHeight="1">
      <c r="A13" s="30" t="s">
        <v>41</v>
      </c>
      <c r="B13" s="32">
        <v>28000</v>
      </c>
    </row>
    <row r="14" spans="1:2" ht="21" customHeight="1">
      <c r="A14" s="30" t="s">
        <v>31</v>
      </c>
      <c r="B14" s="32">
        <v>19800</v>
      </c>
    </row>
    <row r="15" spans="1:2" ht="21" customHeight="1">
      <c r="A15" s="30" t="s">
        <v>32</v>
      </c>
      <c r="B15" s="32">
        <v>29000</v>
      </c>
    </row>
    <row r="16" spans="1:2" ht="21" customHeight="1">
      <c r="A16" s="30" t="s">
        <v>33</v>
      </c>
      <c r="B16" s="32">
        <v>18000</v>
      </c>
    </row>
    <row r="17" spans="1:2" ht="21" customHeight="1">
      <c r="A17" s="30" t="s">
        <v>34</v>
      </c>
      <c r="B17" s="32">
        <v>19800</v>
      </c>
    </row>
    <row r="18" spans="1:2" ht="21" customHeight="1">
      <c r="A18" s="30" t="s">
        <v>35</v>
      </c>
      <c r="B18" s="32">
        <v>22000</v>
      </c>
    </row>
    <row r="19" spans="1:2" ht="21" customHeight="1">
      <c r="A19" s="30" t="s">
        <v>36</v>
      </c>
      <c r="B19" s="32">
        <v>30000</v>
      </c>
    </row>
    <row r="20" spans="1:2" ht="21" customHeight="1">
      <c r="A20" s="30" t="s">
        <v>37</v>
      </c>
      <c r="B20" s="32">
        <v>38000</v>
      </c>
    </row>
    <row r="21" spans="1:2" ht="21" customHeight="1">
      <c r="A21" s="30" t="s">
        <v>38</v>
      </c>
      <c r="B21" s="32">
        <v>27000</v>
      </c>
    </row>
  </sheetData>
  <mergeCells count="1">
    <mergeCell ref="A1:B1"/>
  </mergeCells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2</vt:i4>
      </vt:variant>
    </vt:vector>
  </HeadingPairs>
  <TitlesOfParts>
    <vt:vector size="4" baseType="lpstr">
      <vt:lpstr>견적서</vt:lpstr>
      <vt:lpstr>도서목록</vt:lpstr>
      <vt:lpstr>견적서!Print_Area</vt:lpstr>
      <vt:lpstr>단가표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kyongja kim</dc:creator>
  <cp:lastModifiedBy>seungho Oh</cp:lastModifiedBy>
  <dcterms:created xsi:type="dcterms:W3CDTF">2019-10-16T13:05:02Z</dcterms:created>
  <dcterms:modified xsi:type="dcterms:W3CDTF">2023-12-07T06:13:52Z</dcterms:modified>
</cp:coreProperties>
</file>