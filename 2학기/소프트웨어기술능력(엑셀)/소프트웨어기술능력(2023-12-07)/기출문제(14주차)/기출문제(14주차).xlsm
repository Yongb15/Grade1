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YUHAN\Desktop\기출문제(14주차)\"/>
    </mc:Choice>
  </mc:AlternateContent>
  <bookViews>
    <workbookView xWindow="21285" yWindow="2220" windowWidth="16485" windowHeight="17250" tabRatio="903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10" r:id="rId5"/>
    <sheet name="분석작업-2" sheetId="11" r:id="rId6"/>
    <sheet name="매크로작업" sheetId="12" r:id="rId7"/>
    <sheet name="차트작업" sheetId="13" r:id="rId8"/>
  </sheets>
  <definedNames>
    <definedName name="_xlnm._FilterDatabase" localSheetId="2" hidden="1">'기본작업-3'!$A$3:$H$15</definedName>
    <definedName name="_xlnm.Criteria" localSheetId="2">'기본작업-3'!#REF!</definedName>
    <definedName name="_xlnm.Extract" localSheetId="2">'기본작업-3'!#REF!</definedName>
    <definedName name="사슴녹용이익액">#REF!</definedName>
    <definedName name="순이익합계">#REF!</definedName>
    <definedName name="영지차이익액">#REF!</definedName>
    <definedName name="홍삼정이익액">#REF!</definedName>
  </definedNames>
  <calcPr calcId="162913"/>
  <pivotCaches>
    <pivotCache cacheId="3" r:id="rId9"/>
    <pivotCache cacheId="8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2" l="1"/>
  <c r="F6" i="12"/>
  <c r="F7" i="12"/>
  <c r="F8" i="12"/>
  <c r="F9" i="12"/>
  <c r="F4" i="12"/>
  <c r="C42" i="4"/>
  <c r="C43" i="4"/>
  <c r="C44" i="4"/>
  <c r="C45" i="4"/>
  <c r="C46" i="4"/>
  <c r="C47" i="4"/>
  <c r="C48" i="4"/>
  <c r="C49" i="4"/>
  <c r="C50" i="4"/>
  <c r="C37" i="4" l="1"/>
  <c r="J27" i="4"/>
  <c r="J28" i="4"/>
  <c r="J29" i="4"/>
  <c r="J30" i="4"/>
  <c r="J31" i="4"/>
  <c r="J32" i="4"/>
  <c r="J33" i="4"/>
  <c r="J34" i="4"/>
  <c r="J3" i="4"/>
  <c r="J4" i="4"/>
  <c r="J5" i="4"/>
  <c r="J6" i="4"/>
  <c r="J7" i="4"/>
  <c r="J8" i="4"/>
  <c r="D3" i="4"/>
  <c r="D4" i="4"/>
  <c r="D5" i="4"/>
  <c r="D6" i="4"/>
  <c r="D7" i="4"/>
  <c r="D8" i="4"/>
  <c r="D9" i="4"/>
  <c r="D10" i="4"/>
  <c r="D11" i="4"/>
  <c r="C16" i="4"/>
  <c r="C17" i="4"/>
  <c r="C18" i="4"/>
  <c r="C19" i="4"/>
  <c r="C20" i="4"/>
  <c r="C21" i="4"/>
  <c r="C22" i="4"/>
  <c r="D11" i="13" l="1"/>
  <c r="G11" i="13" s="1"/>
  <c r="G10" i="13"/>
  <c r="D10" i="13"/>
  <c r="D9" i="13"/>
  <c r="G9" i="13" s="1"/>
  <c r="D8" i="13"/>
  <c r="G8" i="13" s="1"/>
  <c r="D7" i="13"/>
  <c r="G7" i="13" s="1"/>
  <c r="D6" i="13"/>
  <c r="G6" i="13" s="1"/>
  <c r="G5" i="13"/>
  <c r="D5" i="13"/>
  <c r="D4" i="13"/>
  <c r="G4" i="13" s="1"/>
  <c r="G17" i="11" l="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</calcChain>
</file>

<file path=xl/comments1.xml><?xml version="1.0" encoding="utf-8"?>
<comments xmlns="http://schemas.openxmlformats.org/spreadsheetml/2006/main">
  <authors>
    <author>YUHAN</author>
  </authors>
  <commentList>
    <comment ref="F5" authorId="0" shapeId="0">
      <text>
        <r>
          <rPr>
            <b/>
            <sz val="9"/>
            <color indexed="81"/>
            <rFont val="돋움"/>
            <family val="3"/>
            <charset val="129"/>
          </rPr>
          <t>우수지점</t>
        </r>
      </text>
    </comment>
  </commentList>
</comments>
</file>

<file path=xl/sharedStrings.xml><?xml version="1.0" encoding="utf-8"?>
<sst xmlns="http://schemas.openxmlformats.org/spreadsheetml/2006/main" count="413" uniqueCount="282">
  <si>
    <t>리조트 여름 휴가 예약 현황</t>
    <phoneticPr fontId="1" type="noConversion"/>
  </si>
  <si>
    <t>지점별 세일기간 판매 현황</t>
    <phoneticPr fontId="3" type="noConversion"/>
  </si>
  <si>
    <t>(단위 : 천원)</t>
    <phoneticPr fontId="3" type="noConversion"/>
  </si>
  <si>
    <t>지점명</t>
    <phoneticPr fontId="3" type="noConversion"/>
  </si>
  <si>
    <t>세일기간</t>
    <phoneticPr fontId="3" type="noConversion"/>
  </si>
  <si>
    <t>전년도판매액</t>
    <phoneticPr fontId="3" type="noConversion"/>
  </si>
  <si>
    <t>당월판매액</t>
    <phoneticPr fontId="3" type="noConversion"/>
  </si>
  <si>
    <t>판매순위</t>
    <phoneticPr fontId="3" type="noConversion"/>
  </si>
  <si>
    <t>전년도대비율</t>
    <phoneticPr fontId="3" type="noConversion"/>
  </si>
  <si>
    <t>비고</t>
    <phoneticPr fontId="3" type="noConversion"/>
  </si>
  <si>
    <t>반포점</t>
    <phoneticPr fontId="3" type="noConversion"/>
  </si>
  <si>
    <t>11/10-11/15</t>
    <phoneticPr fontId="3" type="noConversion"/>
  </si>
  <si>
    <t>목표달성</t>
  </si>
  <si>
    <t>압구정점</t>
    <phoneticPr fontId="3" type="noConversion"/>
  </si>
  <si>
    <t>11/11-11/16</t>
    <phoneticPr fontId="3" type="noConversion"/>
  </si>
  <si>
    <t>초과달성</t>
  </si>
  <si>
    <t>서초점</t>
    <phoneticPr fontId="3" type="noConversion"/>
  </si>
  <si>
    <t>11/13-11/18</t>
    <phoneticPr fontId="3" type="noConversion"/>
  </si>
  <si>
    <t>양재점</t>
    <phoneticPr fontId="3" type="noConversion"/>
  </si>
  <si>
    <t>11/10-11/16</t>
    <phoneticPr fontId="3" type="noConversion"/>
  </si>
  <si>
    <t>대치점</t>
    <phoneticPr fontId="3" type="noConversion"/>
  </si>
  <si>
    <t>11/09-11/13</t>
    <phoneticPr fontId="3" type="noConversion"/>
  </si>
  <si>
    <t>목표미달</t>
  </si>
  <si>
    <t>도곡점</t>
    <phoneticPr fontId="3" type="noConversion"/>
  </si>
  <si>
    <t>11/05-11/10</t>
    <phoneticPr fontId="3" type="noConversion"/>
  </si>
  <si>
    <t>방배점</t>
    <phoneticPr fontId="3" type="noConversion"/>
  </si>
  <si>
    <t>11/01-11/05</t>
    <phoneticPr fontId="3" type="noConversion"/>
  </si>
  <si>
    <t>삼성점</t>
    <phoneticPr fontId="3" type="noConversion"/>
  </si>
  <si>
    <t>11/03-11/08</t>
    <phoneticPr fontId="3" type="noConversion"/>
  </si>
  <si>
    <t>신사점</t>
    <phoneticPr fontId="3" type="noConversion"/>
  </si>
  <si>
    <t>11/06-11/11</t>
    <phoneticPr fontId="3" type="noConversion"/>
  </si>
  <si>
    <t>사원별 급여 현황</t>
  </si>
  <si>
    <t>(단위:원)</t>
    <phoneticPr fontId="1" type="noConversion"/>
  </si>
  <si>
    <t>성명</t>
  </si>
  <si>
    <t>부서</t>
  </si>
  <si>
    <t>직위</t>
  </si>
  <si>
    <t>인사고과</t>
  </si>
  <si>
    <t>기본급</t>
  </si>
  <si>
    <t>상여비율</t>
  </si>
  <si>
    <t>수당</t>
  </si>
  <si>
    <t>총급여액</t>
  </si>
  <si>
    <t>김동지</t>
    <phoneticPr fontId="3" type="noConversion"/>
  </si>
  <si>
    <t>판매부</t>
  </si>
  <si>
    <t>대리</t>
  </si>
  <si>
    <t>민지환</t>
    <phoneticPr fontId="3" type="noConversion"/>
  </si>
  <si>
    <t>판매부</t>
    <phoneticPr fontId="3" type="noConversion"/>
  </si>
  <si>
    <t>사원</t>
    <phoneticPr fontId="3" type="noConversion"/>
  </si>
  <si>
    <t>박덕우</t>
    <phoneticPr fontId="3" type="noConversion"/>
  </si>
  <si>
    <t>기획부</t>
  </si>
  <si>
    <t>부장</t>
  </si>
  <si>
    <t>오여령</t>
    <phoneticPr fontId="3" type="noConversion"/>
  </si>
  <si>
    <t>홍보부</t>
  </si>
  <si>
    <t>이세현</t>
    <phoneticPr fontId="3" type="noConversion"/>
  </si>
  <si>
    <t>과장</t>
  </si>
  <si>
    <t>이진경</t>
    <phoneticPr fontId="3" type="noConversion"/>
  </si>
  <si>
    <t>주지연</t>
    <phoneticPr fontId="3" type="noConversion"/>
  </si>
  <si>
    <t>지연학</t>
    <phoneticPr fontId="3" type="noConversion"/>
  </si>
  <si>
    <t>하나영</t>
    <phoneticPr fontId="3" type="noConversion"/>
  </si>
  <si>
    <t>홍보부</t>
    <phoneticPr fontId="3" type="noConversion"/>
  </si>
  <si>
    <t>사원</t>
    <phoneticPr fontId="3" type="noConversion"/>
  </si>
  <si>
    <t>한승수</t>
    <phoneticPr fontId="3" type="noConversion"/>
  </si>
  <si>
    <t>한아름</t>
    <phoneticPr fontId="3" type="noConversion"/>
  </si>
  <si>
    <t>호지명</t>
    <phoneticPr fontId="3" type="noConversion"/>
  </si>
  <si>
    <t>기획부</t>
    <phoneticPr fontId="3" type="noConversion"/>
  </si>
  <si>
    <t>사원</t>
    <phoneticPr fontId="3" type="noConversion"/>
  </si>
  <si>
    <t>이름</t>
    <phoneticPr fontId="3" type="noConversion"/>
  </si>
  <si>
    <t>[표5]</t>
    <phoneticPr fontId="3" type="noConversion"/>
  </si>
  <si>
    <t>성명</t>
    <phoneticPr fontId="3" type="noConversion"/>
  </si>
  <si>
    <t>한가람</t>
    <phoneticPr fontId="3" type="noConversion"/>
  </si>
  <si>
    <t>합계</t>
    <phoneticPr fontId="3" type="noConversion"/>
  </si>
  <si>
    <t>부서명</t>
    <phoneticPr fontId="3" type="noConversion"/>
  </si>
  <si>
    <t>판매금액</t>
    <phoneticPr fontId="3" type="noConversion"/>
  </si>
  <si>
    <t>대리</t>
    <phoneticPr fontId="3" type="noConversion"/>
  </si>
  <si>
    <t>1인가구주의 연령별 거주기간</t>
    <phoneticPr fontId="3" type="noConversion"/>
  </si>
  <si>
    <t>(단위 : %)</t>
    <phoneticPr fontId="3" type="noConversion"/>
  </si>
  <si>
    <t>연령구분</t>
    <phoneticPr fontId="3" type="noConversion"/>
  </si>
  <si>
    <t>1년</t>
    <phoneticPr fontId="3" type="noConversion"/>
  </si>
  <si>
    <t>2년</t>
    <phoneticPr fontId="3" type="noConversion"/>
  </si>
  <si>
    <t>3년</t>
    <phoneticPr fontId="3" type="noConversion"/>
  </si>
  <si>
    <t>4년</t>
    <phoneticPr fontId="3" type="noConversion"/>
  </si>
  <si>
    <t>10대</t>
    <phoneticPr fontId="3" type="noConversion"/>
  </si>
  <si>
    <t>20대</t>
    <phoneticPr fontId="3" type="noConversion"/>
  </si>
  <si>
    <t>30대</t>
    <phoneticPr fontId="3" type="noConversion"/>
  </si>
  <si>
    <t>40대</t>
    <phoneticPr fontId="3" type="noConversion"/>
  </si>
  <si>
    <t>50대</t>
    <phoneticPr fontId="3" type="noConversion"/>
  </si>
  <si>
    <t>60대</t>
    <phoneticPr fontId="3" type="noConversion"/>
  </si>
  <si>
    <t>성적 현황(교양)</t>
    <phoneticPr fontId="3" type="noConversion"/>
  </si>
  <si>
    <t>전공학과</t>
    <phoneticPr fontId="3" type="noConversion"/>
  </si>
  <si>
    <t>결석회수</t>
    <phoneticPr fontId="3" type="noConversion"/>
  </si>
  <si>
    <t>출석점수</t>
    <phoneticPr fontId="3" type="noConversion"/>
  </si>
  <si>
    <t>중간고사</t>
    <phoneticPr fontId="3" type="noConversion"/>
  </si>
  <si>
    <t>기말고사</t>
    <phoneticPr fontId="3" type="noConversion"/>
  </si>
  <si>
    <t>평점</t>
    <phoneticPr fontId="3" type="noConversion"/>
  </si>
  <si>
    <t>이미영</t>
    <phoneticPr fontId="3" type="noConversion"/>
  </si>
  <si>
    <t>컴퓨터</t>
    <phoneticPr fontId="3" type="noConversion"/>
  </si>
  <si>
    <t>구기자</t>
    <phoneticPr fontId="3" type="noConversion"/>
  </si>
  <si>
    <t>한명구</t>
    <phoneticPr fontId="3" type="noConversion"/>
  </si>
  <si>
    <t>경영</t>
    <phoneticPr fontId="3" type="noConversion"/>
  </si>
  <si>
    <t>사오정</t>
    <phoneticPr fontId="3" type="noConversion"/>
  </si>
  <si>
    <t>오동추</t>
    <phoneticPr fontId="3" type="noConversion"/>
  </si>
  <si>
    <t>윤수아</t>
    <phoneticPr fontId="3" type="noConversion"/>
  </si>
  <si>
    <t>김기자</t>
    <phoneticPr fontId="3" type="noConversion"/>
  </si>
  <si>
    <t>우주태</t>
    <phoneticPr fontId="3" type="noConversion"/>
  </si>
  <si>
    <t>강나경</t>
    <phoneticPr fontId="1" type="noConversion"/>
  </si>
  <si>
    <t>[표1]</t>
    <phoneticPr fontId="3" type="noConversion"/>
  </si>
  <si>
    <t>1학기 국문학 성적</t>
    <phoneticPr fontId="3" type="noConversion"/>
  </si>
  <si>
    <t>성  명</t>
    <phoneticPr fontId="3" type="noConversion"/>
  </si>
  <si>
    <t>성별</t>
    <phoneticPr fontId="3" type="noConversion"/>
  </si>
  <si>
    <t>성적</t>
    <phoneticPr fontId="3" type="noConversion"/>
  </si>
  <si>
    <t>순위</t>
    <phoneticPr fontId="3" type="noConversion"/>
  </si>
  <si>
    <t>박도현</t>
    <phoneticPr fontId="3" type="noConversion"/>
  </si>
  <si>
    <t>남</t>
    <phoneticPr fontId="3" type="noConversion"/>
  </si>
  <si>
    <t>이성숙</t>
    <phoneticPr fontId="3" type="noConversion"/>
  </si>
  <si>
    <t>여</t>
    <phoneticPr fontId="3" type="noConversion"/>
  </si>
  <si>
    <t>동봉철</t>
    <phoneticPr fontId="3" type="noConversion"/>
  </si>
  <si>
    <t>신돌석</t>
    <phoneticPr fontId="3" type="noConversion"/>
  </si>
  <si>
    <t>성문희</t>
    <phoneticPr fontId="3" type="noConversion"/>
  </si>
  <si>
    <t>박남호</t>
    <phoneticPr fontId="3" type="noConversion"/>
  </si>
  <si>
    <t>유지혜</t>
    <phoneticPr fontId="3" type="noConversion"/>
  </si>
  <si>
    <t>김미란</t>
    <phoneticPr fontId="3" type="noConversion"/>
  </si>
  <si>
    <t>추태란</t>
    <phoneticPr fontId="3" type="noConversion"/>
  </si>
  <si>
    <t>사원현황</t>
    <phoneticPr fontId="3" type="noConversion"/>
  </si>
  <si>
    <t>사원명</t>
    <phoneticPr fontId="3" type="noConversion"/>
  </si>
  <si>
    <t>컴퓨터일반</t>
    <phoneticPr fontId="3" type="noConversion"/>
  </si>
  <si>
    <t>워드</t>
    <phoneticPr fontId="3" type="noConversion"/>
  </si>
  <si>
    <t>합격여부</t>
    <phoneticPr fontId="3" type="noConversion"/>
  </si>
  <si>
    <t>이지연</t>
    <phoneticPr fontId="3" type="noConversion"/>
  </si>
  <si>
    <t>오두영</t>
    <phoneticPr fontId="3" type="noConversion"/>
  </si>
  <si>
    <t>안치연</t>
    <phoneticPr fontId="3" type="noConversion"/>
  </si>
  <si>
    <t>명기영</t>
    <phoneticPr fontId="3" type="noConversion"/>
  </si>
  <si>
    <t>나미인</t>
    <phoneticPr fontId="3" type="noConversion"/>
  </si>
  <si>
    <t>가전제품 판매현황</t>
    <phoneticPr fontId="3" type="noConversion"/>
  </si>
  <si>
    <t>&lt;판매가격표&gt;</t>
    <phoneticPr fontId="3" type="noConversion"/>
  </si>
  <si>
    <t>제품코드</t>
    <phoneticPr fontId="1" type="noConversion"/>
  </si>
  <si>
    <t>판매수량</t>
    <phoneticPr fontId="3" type="noConversion"/>
  </si>
  <si>
    <t>제품명</t>
    <phoneticPr fontId="3" type="noConversion"/>
  </si>
  <si>
    <t>판매가</t>
    <phoneticPr fontId="3" type="noConversion"/>
  </si>
  <si>
    <t>EE-105</t>
    <phoneticPr fontId="1" type="noConversion"/>
  </si>
  <si>
    <t>AA</t>
    <phoneticPr fontId="3" type="noConversion"/>
  </si>
  <si>
    <t>BB-203</t>
    <phoneticPr fontId="1" type="noConversion"/>
  </si>
  <si>
    <t>BB</t>
    <phoneticPr fontId="3" type="noConversion"/>
  </si>
  <si>
    <t>FF-205</t>
    <phoneticPr fontId="1" type="noConversion"/>
  </si>
  <si>
    <t>CC</t>
    <phoneticPr fontId="3" type="noConversion"/>
  </si>
  <si>
    <t>CC-308</t>
    <phoneticPr fontId="1" type="noConversion"/>
  </si>
  <si>
    <t>DD</t>
    <phoneticPr fontId="3" type="noConversion"/>
  </si>
  <si>
    <t>DD-402</t>
    <phoneticPr fontId="1" type="noConversion"/>
  </si>
  <si>
    <t>EE</t>
    <phoneticPr fontId="3" type="noConversion"/>
  </si>
  <si>
    <t>AA-670</t>
    <phoneticPr fontId="1" type="noConversion"/>
  </si>
  <si>
    <t>FF</t>
    <phoneticPr fontId="3" type="noConversion"/>
  </si>
  <si>
    <t>GG-720</t>
    <phoneticPr fontId="1" type="noConversion"/>
  </si>
  <si>
    <t>GG</t>
    <phoneticPr fontId="3" type="noConversion"/>
  </si>
  <si>
    <t xml:space="preserve">[표3] </t>
    <phoneticPr fontId="3" type="noConversion"/>
  </si>
  <si>
    <t>상공주식회사 동아리 모임</t>
    <phoneticPr fontId="3" type="noConversion"/>
  </si>
  <si>
    <t>담당부서</t>
    <phoneticPr fontId="3" type="noConversion"/>
  </si>
  <si>
    <t>탁구</t>
    <phoneticPr fontId="3" type="noConversion"/>
  </si>
  <si>
    <t>수영</t>
    <phoneticPr fontId="3" type="noConversion"/>
  </si>
  <si>
    <t>골프</t>
    <phoneticPr fontId="3" type="noConversion"/>
  </si>
  <si>
    <t>이지환</t>
    <phoneticPr fontId="3" type="noConversion"/>
  </si>
  <si>
    <t>총무부</t>
    <phoneticPr fontId="3" type="noConversion"/>
  </si>
  <si>
    <t>○</t>
    <phoneticPr fontId="3" type="noConversion"/>
  </si>
  <si>
    <t>유정태</t>
    <phoneticPr fontId="3" type="noConversion"/>
  </si>
  <si>
    <t>안정민</t>
    <phoneticPr fontId="3" type="noConversion"/>
  </si>
  <si>
    <t>남도지</t>
    <phoneticPr fontId="3" type="noConversion"/>
  </si>
  <si>
    <t>영업부</t>
    <phoneticPr fontId="3" type="noConversion"/>
  </si>
  <si>
    <t>강수원</t>
    <phoneticPr fontId="3" type="noConversion"/>
  </si>
  <si>
    <t>도연국</t>
    <phoneticPr fontId="3" type="noConversion"/>
  </si>
  <si>
    <t>최덕규</t>
    <phoneticPr fontId="3" type="noConversion"/>
  </si>
  <si>
    <t>사원정</t>
    <phoneticPr fontId="3" type="noConversion"/>
  </si>
  <si>
    <t>수영 동아리 총무부 인원수</t>
    <phoneticPr fontId="3" type="noConversion"/>
  </si>
  <si>
    <t>[표4]</t>
    <phoneticPr fontId="3" type="noConversion"/>
  </si>
  <si>
    <t>사원 감봉 현황</t>
    <phoneticPr fontId="3" type="noConversion"/>
  </si>
  <si>
    <t>학번</t>
    <phoneticPr fontId="3" type="noConversion"/>
  </si>
  <si>
    <t>주민등록번호</t>
    <phoneticPr fontId="3" type="noConversion"/>
  </si>
  <si>
    <t>M1602001</t>
    <phoneticPr fontId="1" type="noConversion"/>
  </si>
  <si>
    <t>이민영</t>
    <phoneticPr fontId="1" type="noConversion"/>
  </si>
  <si>
    <t>990218-2304567</t>
    <phoneticPr fontId="1" type="noConversion"/>
  </si>
  <si>
    <t>M1602002</t>
  </si>
  <si>
    <t>도홍진</t>
    <phoneticPr fontId="1" type="noConversion"/>
  </si>
  <si>
    <t>010802-3065821</t>
    <phoneticPr fontId="1" type="noConversion"/>
  </si>
  <si>
    <t>M1602003</t>
  </si>
  <si>
    <t>박수진</t>
    <phoneticPr fontId="1" type="noConversion"/>
  </si>
  <si>
    <t>011115-4356712</t>
    <phoneticPr fontId="1" type="noConversion"/>
  </si>
  <si>
    <t>M1602004</t>
  </si>
  <si>
    <t>최만수</t>
    <phoneticPr fontId="1" type="noConversion"/>
  </si>
  <si>
    <t>980723-1935645</t>
    <phoneticPr fontId="1" type="noConversion"/>
  </si>
  <si>
    <t>M1602005</t>
  </si>
  <si>
    <t>조용덕</t>
    <phoneticPr fontId="1" type="noConversion"/>
  </si>
  <si>
    <t>991225-1328650</t>
    <phoneticPr fontId="1" type="noConversion"/>
  </si>
  <si>
    <t>M1602006</t>
  </si>
  <si>
    <t>김태훈</t>
    <phoneticPr fontId="1" type="noConversion"/>
  </si>
  <si>
    <t>021222-3264328</t>
    <phoneticPr fontId="1" type="noConversion"/>
  </si>
  <si>
    <t>M1602007</t>
  </si>
  <si>
    <t>편승주</t>
    <phoneticPr fontId="1" type="noConversion"/>
  </si>
  <si>
    <t>010123-3652942</t>
    <phoneticPr fontId="1" type="noConversion"/>
  </si>
  <si>
    <t>M1602008</t>
  </si>
  <si>
    <t>곽나래</t>
    <phoneticPr fontId="1" type="noConversion"/>
  </si>
  <si>
    <t>001015-4685201</t>
    <phoneticPr fontId="1" type="noConversion"/>
  </si>
  <si>
    <t>제품 생산 현황</t>
  </si>
  <si>
    <t>분류</t>
  </si>
  <si>
    <t>생산일자</t>
  </si>
  <si>
    <t>com</t>
  </si>
  <si>
    <t>mou</t>
  </si>
  <si>
    <t>key</t>
  </si>
  <si>
    <t>[표6]</t>
    <phoneticPr fontId="1" type="noConversion"/>
  </si>
  <si>
    <t>근무지별 급여현황</t>
    <phoneticPr fontId="1" type="noConversion"/>
  </si>
  <si>
    <t>사원번호</t>
    <phoneticPr fontId="1" type="noConversion"/>
  </si>
  <si>
    <t>근무지</t>
    <phoneticPr fontId="1" type="noConversion"/>
  </si>
  <si>
    <t>업무부서</t>
    <phoneticPr fontId="1" type="noConversion"/>
  </si>
  <si>
    <t>기본급</t>
    <phoneticPr fontId="1" type="noConversion"/>
  </si>
  <si>
    <t>수당</t>
    <phoneticPr fontId="1" type="noConversion"/>
  </si>
  <si>
    <t>시간외근무</t>
    <phoneticPr fontId="1" type="noConversion"/>
  </si>
  <si>
    <t>식대</t>
    <phoneticPr fontId="1" type="noConversion"/>
  </si>
  <si>
    <t>교통비</t>
    <phoneticPr fontId="1" type="noConversion"/>
  </si>
  <si>
    <t>GH-81</t>
    <phoneticPr fontId="1" type="noConversion"/>
  </si>
  <si>
    <t>충청지사</t>
  </si>
  <si>
    <t>생산부서</t>
  </si>
  <si>
    <t>GC-99</t>
    <phoneticPr fontId="1" type="noConversion"/>
  </si>
  <si>
    <t>인천본사</t>
  </si>
  <si>
    <t>영업부서</t>
    <phoneticPr fontId="1" type="noConversion"/>
  </si>
  <si>
    <t>CH-33</t>
    <phoneticPr fontId="1" type="noConversion"/>
  </si>
  <si>
    <t>제주지사</t>
    <phoneticPr fontId="1" type="noConversion"/>
  </si>
  <si>
    <t>관리부서</t>
  </si>
  <si>
    <t>*</t>
    <phoneticPr fontId="1" type="noConversion"/>
  </si>
  <si>
    <t>AB-52</t>
    <phoneticPr fontId="1" type="noConversion"/>
  </si>
  <si>
    <t>경기지사</t>
  </si>
  <si>
    <t>영업부서</t>
  </si>
  <si>
    <t>GC-15</t>
    <phoneticPr fontId="1" type="noConversion"/>
  </si>
  <si>
    <t>관리부서</t>
    <phoneticPr fontId="1" type="noConversion"/>
  </si>
  <si>
    <t>BA-85</t>
    <phoneticPr fontId="1" type="noConversion"/>
  </si>
  <si>
    <t>경기지사</t>
    <phoneticPr fontId="1" type="noConversion"/>
  </si>
  <si>
    <t>연구팀</t>
  </si>
  <si>
    <t>IA-73</t>
    <phoneticPr fontId="1" type="noConversion"/>
  </si>
  <si>
    <t>IB-86</t>
    <phoneticPr fontId="1" type="noConversion"/>
  </si>
  <si>
    <t>CE-55</t>
    <phoneticPr fontId="1" type="noConversion"/>
  </si>
  <si>
    <t>HI-34</t>
    <phoneticPr fontId="1" type="noConversion"/>
  </si>
  <si>
    <t>EK-21</t>
    <phoneticPr fontId="1" type="noConversion"/>
  </si>
  <si>
    <t>HO-90</t>
    <phoneticPr fontId="1" type="noConversion"/>
  </si>
  <si>
    <t>AB-80</t>
    <phoneticPr fontId="1" type="noConversion"/>
  </si>
  <si>
    <t>CD-67</t>
    <phoneticPr fontId="1" type="noConversion"/>
  </si>
  <si>
    <t>AK-63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</si>
  <si>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</si>
  <si>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</si>
  <si>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</si>
  <si>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사원 승진 심사표</t>
    <phoneticPr fontId="3" type="noConversion"/>
  </si>
  <si>
    <t>직위</t>
    <phoneticPr fontId="3" type="noConversion"/>
  </si>
  <si>
    <t>고과 점수</t>
    <phoneticPr fontId="3" type="noConversion"/>
  </si>
  <si>
    <t>외국어 점수</t>
    <phoneticPr fontId="3" type="noConversion"/>
  </si>
  <si>
    <t>자격증 점수</t>
    <phoneticPr fontId="3" type="noConversion"/>
  </si>
  <si>
    <t>총  점</t>
    <phoneticPr fontId="3" type="noConversion"/>
  </si>
  <si>
    <t>관리부</t>
    <phoneticPr fontId="3" type="noConversion"/>
  </si>
  <si>
    <t>김명훈</t>
    <phoneticPr fontId="3" type="noConversion"/>
  </si>
  <si>
    <t>팀장</t>
    <phoneticPr fontId="3" type="noConversion"/>
  </si>
  <si>
    <t>유명실</t>
    <phoneticPr fontId="3" type="noConversion"/>
  </si>
  <si>
    <t>이영자</t>
    <phoneticPr fontId="3" type="noConversion"/>
  </si>
  <si>
    <t>관리부</t>
    <phoneticPr fontId="1" type="noConversion"/>
  </si>
  <si>
    <t>대리</t>
    <phoneticPr fontId="1" type="noConversion"/>
  </si>
  <si>
    <t>이도원</t>
    <phoneticPr fontId="1" type="noConversion"/>
  </si>
  <si>
    <t>부장</t>
    <phoneticPr fontId="1" type="noConversion"/>
  </si>
  <si>
    <t>이주아</t>
    <phoneticPr fontId="1" type="noConversion"/>
  </si>
  <si>
    <t>김소현</t>
    <phoneticPr fontId="3" type="noConversion"/>
  </si>
  <si>
    <t>신선해</t>
    <phoneticPr fontId="3" type="noConversion"/>
  </si>
  <si>
    <t>현영민</t>
    <phoneticPr fontId="3" type="noConversion"/>
  </si>
  <si>
    <t>한경용</t>
    <phoneticPr fontId="1" type="noConversion"/>
  </si>
  <si>
    <t>김덕훈</t>
    <phoneticPr fontId="3" type="noConversion"/>
  </si>
  <si>
    <t>김도우</t>
    <phoneticPr fontId="3" type="noConversion"/>
  </si>
  <si>
    <t>부장</t>
    <phoneticPr fontId="3" type="noConversion"/>
  </si>
  <si>
    <t>윤은기</t>
    <phoneticPr fontId="3" type="noConversion"/>
  </si>
  <si>
    <t>이중삭</t>
    <phoneticPr fontId="3" type="noConversion"/>
  </si>
  <si>
    <t>행 레이블</t>
  </si>
  <si>
    <t>총합계</t>
  </si>
  <si>
    <t>열 레이블</t>
  </si>
  <si>
    <t>제주지사</t>
  </si>
  <si>
    <t>평균 : 기본급</t>
  </si>
  <si>
    <t>합계 : 수당</t>
  </si>
  <si>
    <t>(모두)</t>
  </si>
  <si>
    <t>사원</t>
  </si>
  <si>
    <t>팀장</t>
  </si>
  <si>
    <t>관리부</t>
  </si>
  <si>
    <t>영업부</t>
  </si>
  <si>
    <t>총무부</t>
  </si>
  <si>
    <t>평균 : 총  점</t>
  </si>
  <si>
    <t>최대값 : 외국어 점수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</si>
</sst>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yyyy&quot;년&quot;\ m&quot;월&quot;\ d&quot;일&quot;"/>
    <numFmt numFmtId="177" formatCode="mm&quot;월&quot;\ dd&quot;일&quot;"/>
    <numFmt numFmtId="178" formatCode="0.0_);[Red]\(0.0\)"/>
    <numFmt numFmtId="179" formatCode="#,##0_);[Red]\(#,##0\)"/>
    <numFmt numFmtId="180" formatCode="#,##0&quot;원&quot;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1"/>
      <color theme="0"/>
      <name val="맑은 고딕"/>
      <family val="2"/>
      <charset val="129"/>
      <scheme val="minor"/>
    </font>
    <font>
      <b/>
      <sz val="18"/>
      <color theme="1"/>
      <name val="굴림"/>
      <family val="3"/>
      <charset val="129"/>
    </font>
    <font>
      <b/>
      <sz val="9"/>
      <color indexed="81"/>
      <name val="돋움"/>
      <family val="3"/>
      <charset val="129"/>
    </font>
    <font>
      <sz val="11"/>
      <color rgb="FFFFFF00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8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rgb="FF7030A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vertical="center"/>
    </xf>
    <xf numFmtId="9" fontId="6" fillId="0" borderId="1" xfId="3" applyFont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/>
    </xf>
    <xf numFmtId="41" fontId="6" fillId="0" borderId="1" xfId="1" applyFont="1" applyFill="1" applyBorder="1" applyAlignment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177" fontId="5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2" fontId="6" fillId="0" borderId="0" xfId="2" applyFont="1" applyAlignment="1">
      <alignment vertical="center"/>
    </xf>
    <xf numFmtId="178" fontId="5" fillId="0" borderId="1" xfId="0" applyNumberFormat="1" applyFont="1" applyBorder="1" applyAlignment="1">
      <alignment horizontal="right" vertical="center"/>
    </xf>
    <xf numFmtId="179" fontId="6" fillId="0" borderId="1" xfId="1" applyNumberFormat="1" applyFont="1" applyFill="1" applyBorder="1" applyAlignment="1">
      <alignment horizontal="center" vertical="center"/>
    </xf>
    <xf numFmtId="0" fontId="6" fillId="0" borderId="1" xfId="3" applyNumberFormat="1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1" fillId="0" borderId="1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3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41" fontId="13" fillId="0" borderId="1" xfId="0" applyNumberFormat="1" applyFont="1" applyBorder="1" applyAlignment="1">
      <alignment horizontal="center" vertical="center"/>
    </xf>
    <xf numFmtId="14" fontId="13" fillId="0" borderId="0" xfId="1" applyNumberFormat="1" applyFont="1" applyBorder="1" applyAlignment="1">
      <alignment horizontal="center" vertical="center"/>
    </xf>
    <xf numFmtId="41" fontId="13" fillId="0" borderId="1" xfId="1" applyFont="1" applyBorder="1" applyAlignment="1">
      <alignment horizontal="center" vertical="center"/>
    </xf>
    <xf numFmtId="41" fontId="13" fillId="0" borderId="0" xfId="1" applyFont="1" applyBorder="1" applyAlignment="1">
      <alignment horizontal="center" vertical="center"/>
    </xf>
    <xf numFmtId="41" fontId="13" fillId="0" borderId="1" xfId="1" applyFont="1" applyBorder="1" applyAlignment="1">
      <alignment vertical="center"/>
    </xf>
    <xf numFmtId="0" fontId="12" fillId="0" borderId="2" xfId="0" applyFont="1" applyBorder="1">
      <alignment vertical="center"/>
    </xf>
    <xf numFmtId="3" fontId="11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9" fontId="5" fillId="0" borderId="3" xfId="0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9" fontId="0" fillId="0" borderId="1" xfId="1" applyNumberFormat="1" applyFont="1" applyBorder="1">
      <alignment vertical="center"/>
    </xf>
    <xf numFmtId="179" fontId="0" fillId="0" borderId="1" xfId="0" applyNumberFormat="1" applyBorder="1" applyAlignment="1">
      <alignment horizontal="center" vertical="center"/>
    </xf>
    <xf numFmtId="179" fontId="0" fillId="0" borderId="4" xfId="1" applyNumberFormat="1" applyFont="1" applyFill="1" applyBorder="1">
      <alignment vertical="center"/>
    </xf>
    <xf numFmtId="0" fontId="14" fillId="3" borderId="1" xfId="4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180" fontId="0" fillId="0" borderId="1" xfId="0" applyNumberFormat="1" applyBorder="1">
      <alignment vertical="center"/>
    </xf>
    <xf numFmtId="9" fontId="0" fillId="0" borderId="1" xfId="0" applyNumberFormat="1" applyBorder="1">
      <alignment vertical="center"/>
    </xf>
    <xf numFmtId="0" fontId="1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42" fontId="10" fillId="0" borderId="0" xfId="2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17" fillId="4" borderId="1" xfId="0" applyFont="1" applyFill="1" applyBorder="1" applyAlignment="1">
      <alignment horizontal="center" vertical="center"/>
    </xf>
    <xf numFmtId="0" fontId="18" fillId="0" borderId="0" xfId="0" applyFont="1">
      <alignment vertical="center"/>
    </xf>
    <xf numFmtId="178" fontId="19" fillId="0" borderId="1" xfId="0" applyNumberFormat="1" applyFont="1" applyBorder="1" applyAlignment="1">
      <alignment horizontal="right" vertical="center"/>
    </xf>
  </cellXfs>
  <cellStyles count="5">
    <cellStyle name="강조색1" xfId="4" builtinId="29"/>
    <cellStyle name="백분율" xfId="3" builtinId="5"/>
    <cellStyle name="쉼표 [0]" xfId="1" builtinId="6"/>
    <cellStyle name="통화 [0]" xfId="2" builtinId="7"/>
    <cellStyle name="표준" xfId="0" builtinId="0"/>
  </cellStyles>
  <dxfs count="2">
    <dxf>
      <font>
        <condense val="0"/>
        <extend val="0"/>
        <color indexed="1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7030A0"/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r>
              <a:rPr lang="ko-KR" altLang="en-US">
                <a:solidFill>
                  <a:srgbClr val="7030A0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컴퓨터 전공의 성적현황</a:t>
            </a:r>
            <a:endParaRPr lang="en-US" altLang="ko-KR">
              <a:solidFill>
                <a:srgbClr val="7030A0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c:rich>
      </c:tx>
      <c:layout/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7030A0"/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차트작업!$E$3</c:f>
              <c:strCache>
                <c:ptCount val="1"/>
                <c:pt idx="0">
                  <c:v>중간고사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C000-4C3C-9022-CD10B32332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(차트작업!$A$4,차트작업!$A$5,차트작업!$A$7,차트작업!$A$8,차트작업!$A$10)</c:f>
              <c:strCache>
                <c:ptCount val="5"/>
                <c:pt idx="0">
                  <c:v>이미영</c:v>
                </c:pt>
                <c:pt idx="1">
                  <c:v>구기자</c:v>
                </c:pt>
                <c:pt idx="2">
                  <c:v>사오정</c:v>
                </c:pt>
                <c:pt idx="3">
                  <c:v>오동추</c:v>
                </c:pt>
                <c:pt idx="4">
                  <c:v>김기자</c:v>
                </c:pt>
              </c:strCache>
            </c:strRef>
          </c:cat>
          <c:val>
            <c:numRef>
              <c:f>(차트작업!$E$4,차트작업!$E$5,차트작업!$E$7,차트작업!$E$8,차트작업!$E$10)</c:f>
              <c:numCache>
                <c:formatCode>_(* #,##0_);_(* \(#,##0\);_(* "-"_);_(@_)</c:formatCode>
                <c:ptCount val="5"/>
                <c:pt idx="0">
                  <c:v>90</c:v>
                </c:pt>
                <c:pt idx="1">
                  <c:v>100</c:v>
                </c:pt>
                <c:pt idx="2">
                  <c:v>78</c:v>
                </c:pt>
                <c:pt idx="3">
                  <c:v>46</c:v>
                </c:pt>
                <c:pt idx="4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1-4007-BC93-3B3E4ED93A71}"/>
            </c:ext>
          </c:extLst>
        </c:ser>
        <c:ser>
          <c:idx val="1"/>
          <c:order val="1"/>
          <c:tx>
            <c:strRef>
              <c:f>차트작업!$F$3</c:f>
              <c:strCache>
                <c:ptCount val="1"/>
                <c:pt idx="0">
                  <c:v>기말고사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C000-4C3C-9022-CD10B32332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(차트작업!$A$4,차트작업!$A$5,차트작업!$A$7,차트작업!$A$8,차트작업!$A$10)</c:f>
              <c:strCache>
                <c:ptCount val="5"/>
                <c:pt idx="0">
                  <c:v>이미영</c:v>
                </c:pt>
                <c:pt idx="1">
                  <c:v>구기자</c:v>
                </c:pt>
                <c:pt idx="2">
                  <c:v>사오정</c:v>
                </c:pt>
                <c:pt idx="3">
                  <c:v>오동추</c:v>
                </c:pt>
                <c:pt idx="4">
                  <c:v>김기자</c:v>
                </c:pt>
              </c:strCache>
            </c:strRef>
          </c:cat>
          <c:val>
            <c:numRef>
              <c:f>(차트작업!$F$4:$F$5,차트작업!$F$7:$F$8,차트작업!$F$10)</c:f>
              <c:numCache>
                <c:formatCode>_(* #,##0_);_(* \(#,##0\);_(* "-"_);_(@_)</c:formatCode>
                <c:ptCount val="5"/>
                <c:pt idx="0">
                  <c:v>88</c:v>
                </c:pt>
                <c:pt idx="1">
                  <c:v>90</c:v>
                </c:pt>
                <c:pt idx="2">
                  <c:v>80</c:v>
                </c:pt>
                <c:pt idx="3">
                  <c:v>75</c:v>
                </c:pt>
                <c:pt idx="4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0-4C3C-9022-CD10B3233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00325455"/>
        <c:axId val="1600321711"/>
      </c:barChart>
      <c:catAx>
        <c:axId val="1600325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0321711"/>
        <c:crosses val="autoZero"/>
        <c:auto val="1"/>
        <c:lblAlgn val="ctr"/>
        <c:lblOffset val="100"/>
        <c:noMultiLvlLbl val="0"/>
      </c:catAx>
      <c:valAx>
        <c:axId val="1600321711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0325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10</xdr:row>
      <xdr:rowOff>9525</xdr:rowOff>
    </xdr:from>
    <xdr:to>
      <xdr:col>3</xdr:col>
      <xdr:colOff>0</xdr:colOff>
      <xdr:row>12</xdr:row>
      <xdr:rowOff>0</xdr:rowOff>
    </xdr:to>
    <xdr:sp macro="[0]!합계" textlink="">
      <xdr:nvSpPr>
        <xdr:cNvPr id="3" name="직사각형 2"/>
        <xdr:cNvSpPr/>
      </xdr:nvSpPr>
      <xdr:spPr>
        <a:xfrm>
          <a:off x="676275" y="2152650"/>
          <a:ext cx="1381125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합계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10</xdr:col>
      <xdr:colOff>0</xdr:colOff>
      <xdr:row>28</xdr:row>
      <xdr:rowOff>203200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C0A841D-9A5E-441C-9627-D3C60EFC0E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UHAN" refreshedDate="45267.655269328701" createdVersion="6" refreshedVersion="6" minRefreshableVersion="3" recordCount="18">
  <cacheSource type="worksheet">
    <worksheetSource ref="A3:H21" sheet="분석작업-1"/>
  </cacheSource>
  <cacheFields count="8">
    <cacheField name="사원번호" numFmtId="0">
      <sharedItems/>
    </cacheField>
    <cacheField name="근무지" numFmtId="0">
      <sharedItems count="4">
        <s v="충청지사"/>
        <s v="인천본사"/>
        <s v="제주지사"/>
        <s v="경기지사"/>
      </sharedItems>
    </cacheField>
    <cacheField name="업무부서" numFmtId="0">
      <sharedItems count="4">
        <s v="생산부서"/>
        <s v="영업부서"/>
        <s v="관리부서"/>
        <s v="연구팀"/>
      </sharedItems>
    </cacheField>
    <cacheField name="기본급" numFmtId="179">
      <sharedItems containsSemiMixedTypes="0" containsString="0" containsNumber="1" containsInteger="1" minValue="1600000" maxValue="3700000"/>
    </cacheField>
    <cacheField name="수당" numFmtId="179">
      <sharedItems containsSemiMixedTypes="0" containsString="0" containsNumber="1" containsInteger="1" minValue="200000" maxValue="460000"/>
    </cacheField>
    <cacheField name="시간외근무" numFmtId="179">
      <sharedItems containsMixedTypes="1" containsNumber="1" containsInteger="1" minValue="2" maxValue="8"/>
    </cacheField>
    <cacheField name="식대" numFmtId="179">
      <sharedItems containsSemiMixedTypes="0" containsString="0" containsNumber="1" containsInteger="1" minValue="60000" maxValue="150000"/>
    </cacheField>
    <cacheField name="교통비" numFmtId="179">
      <sharedItems containsSemiMixedTypes="0" containsString="0" containsNumber="1" containsInteger="1" minValue="50000" maxValue="1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YUHAN" refreshedDate="45267.657346643522" createdVersion="6" refreshedVersion="6" minRefreshableVersion="3" recordCount="14">
  <cacheSource type="worksheet">
    <worksheetSource ref="A3:G17" sheet="분석작업-2"/>
  </cacheSource>
  <cacheFields count="7">
    <cacheField name="부서명" numFmtId="0">
      <sharedItems count="3">
        <s v="관리부"/>
        <s v="영업부"/>
        <s v="총무부"/>
      </sharedItems>
    </cacheField>
    <cacheField name="직위" numFmtId="0">
      <sharedItems count="4">
        <s v="사원"/>
        <s v="팀장"/>
        <s v="대리"/>
        <s v="부장"/>
      </sharedItems>
    </cacheField>
    <cacheField name="성명" numFmtId="0">
      <sharedItems count="14">
        <s v="김명훈"/>
        <s v="유명실"/>
        <s v="이영자"/>
        <s v="강나경"/>
        <s v="이도원"/>
        <s v="이주아"/>
        <s v="김소현"/>
        <s v="신선해"/>
        <s v="현영민"/>
        <s v="한경용"/>
        <s v="김덕훈"/>
        <s v="김도우"/>
        <s v="윤은기"/>
        <s v="이중삭"/>
      </sharedItems>
    </cacheField>
    <cacheField name="고과 점수" numFmtId="0">
      <sharedItems containsSemiMixedTypes="0" containsString="0" containsNumber="1" containsInteger="1" minValue="65" maxValue="91"/>
    </cacheField>
    <cacheField name="외국어 점수" numFmtId="0">
      <sharedItems containsSemiMixedTypes="0" containsString="0" containsNumber="1" containsInteger="1" minValue="68" maxValue="92"/>
    </cacheField>
    <cacheField name="자격증 점수" numFmtId="0">
      <sharedItems containsSemiMixedTypes="0" containsString="0" containsNumber="1" containsInteger="1" minValue="15" maxValue="30"/>
    </cacheField>
    <cacheField name="총  점" numFmtId="0">
      <sharedItems containsSemiMixedTypes="0" containsString="0" containsNumber="1" containsInteger="1" minValue="154" maxValue="2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s v="GH-81"/>
    <x v="0"/>
    <x v="0"/>
    <n v="2300000"/>
    <n v="228000"/>
    <n v="2"/>
    <n v="90000"/>
    <n v="100000"/>
  </r>
  <r>
    <s v="GC-99"/>
    <x v="1"/>
    <x v="1"/>
    <n v="3300000"/>
    <n v="460000"/>
    <n v="3"/>
    <n v="120000"/>
    <n v="120000"/>
  </r>
  <r>
    <s v="CH-33"/>
    <x v="2"/>
    <x v="2"/>
    <n v="3700000"/>
    <n v="280000"/>
    <s v="*"/>
    <n v="90000"/>
    <n v="60000"/>
  </r>
  <r>
    <s v="AB-52"/>
    <x v="3"/>
    <x v="1"/>
    <n v="2300000"/>
    <n v="240000"/>
    <n v="4"/>
    <n v="150000"/>
    <n v="60000"/>
  </r>
  <r>
    <s v="GC-15"/>
    <x v="1"/>
    <x v="2"/>
    <n v="2900000"/>
    <n v="280000"/>
    <n v="2"/>
    <n v="60000"/>
    <n v="130000"/>
  </r>
  <r>
    <s v="BA-85"/>
    <x v="3"/>
    <x v="3"/>
    <n v="3600000"/>
    <n v="200000"/>
    <s v="*"/>
    <n v="140000"/>
    <n v="50000"/>
  </r>
  <r>
    <s v="IA-73"/>
    <x v="0"/>
    <x v="2"/>
    <n v="2200000"/>
    <n v="446000"/>
    <n v="5"/>
    <n v="100000"/>
    <n v="50000"/>
  </r>
  <r>
    <s v="IB-86"/>
    <x v="3"/>
    <x v="0"/>
    <n v="3600000"/>
    <n v="228000"/>
    <n v="2"/>
    <n v="150000"/>
    <n v="80000"/>
  </r>
  <r>
    <s v="CE-55"/>
    <x v="0"/>
    <x v="0"/>
    <n v="2900000"/>
    <n v="260000"/>
    <n v="6"/>
    <n v="90000"/>
    <n v="70000"/>
  </r>
  <r>
    <s v="HI-34"/>
    <x v="3"/>
    <x v="3"/>
    <n v="1600000"/>
    <n v="246000"/>
    <s v="*"/>
    <n v="150000"/>
    <n v="90000"/>
  </r>
  <r>
    <s v="EK-21"/>
    <x v="0"/>
    <x v="3"/>
    <n v="2000000"/>
    <n v="228000"/>
    <n v="5"/>
    <n v="70000"/>
    <n v="50000"/>
  </r>
  <r>
    <s v="HO-90"/>
    <x v="3"/>
    <x v="3"/>
    <n v="1700000"/>
    <n v="440000"/>
    <n v="3"/>
    <n v="90000"/>
    <n v="130000"/>
  </r>
  <r>
    <s v="AB-80"/>
    <x v="3"/>
    <x v="0"/>
    <n v="3600000"/>
    <n v="428000"/>
    <n v="2"/>
    <n v="90000"/>
    <n v="110000"/>
  </r>
  <r>
    <s v="CD-67"/>
    <x v="3"/>
    <x v="1"/>
    <n v="1600000"/>
    <n v="228000"/>
    <s v="*"/>
    <n v="90000"/>
    <n v="120000"/>
  </r>
  <r>
    <s v="AK-63"/>
    <x v="2"/>
    <x v="3"/>
    <n v="3300000"/>
    <n v="220000"/>
    <n v="8"/>
    <n v="150000"/>
    <n v="130000"/>
  </r>
  <r>
    <s v="DF-93"/>
    <x v="3"/>
    <x v="2"/>
    <n v="2500000"/>
    <n v="200000"/>
    <n v="7"/>
    <n v="60000"/>
    <n v="100000"/>
  </r>
  <r>
    <s v="BC-18"/>
    <x v="1"/>
    <x v="1"/>
    <n v="1900000"/>
    <n v="270000"/>
    <s v="*"/>
    <n v="100000"/>
    <n v="100000"/>
  </r>
  <r>
    <s v="EE-88"/>
    <x v="1"/>
    <x v="1"/>
    <n v="2800000"/>
    <n v="420000"/>
    <n v="3"/>
    <n v="150000"/>
    <n v="60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x v="0"/>
    <x v="0"/>
    <n v="83"/>
    <n v="68"/>
    <n v="20"/>
    <n v="171"/>
  </r>
  <r>
    <x v="0"/>
    <x v="1"/>
    <x v="1"/>
    <n v="88"/>
    <n v="75"/>
    <n v="25"/>
    <n v="188"/>
  </r>
  <r>
    <x v="0"/>
    <x v="0"/>
    <x v="2"/>
    <n v="80"/>
    <n v="90"/>
    <n v="20"/>
    <n v="190"/>
  </r>
  <r>
    <x v="0"/>
    <x v="2"/>
    <x v="3"/>
    <n v="85"/>
    <n v="80"/>
    <n v="15"/>
    <n v="180"/>
  </r>
  <r>
    <x v="1"/>
    <x v="2"/>
    <x v="4"/>
    <n v="91"/>
    <n v="85"/>
    <n v="25"/>
    <n v="201"/>
  </r>
  <r>
    <x v="1"/>
    <x v="3"/>
    <x v="5"/>
    <n v="82"/>
    <n v="68"/>
    <n v="30"/>
    <n v="180"/>
  </r>
  <r>
    <x v="1"/>
    <x v="1"/>
    <x v="6"/>
    <n v="65"/>
    <n v="74"/>
    <n v="15"/>
    <n v="154"/>
  </r>
  <r>
    <x v="1"/>
    <x v="2"/>
    <x v="7"/>
    <n v="75"/>
    <n v="78"/>
    <n v="20"/>
    <n v="173"/>
  </r>
  <r>
    <x v="1"/>
    <x v="0"/>
    <x v="8"/>
    <n v="82"/>
    <n v="92"/>
    <n v="20"/>
    <n v="194"/>
  </r>
  <r>
    <x v="2"/>
    <x v="2"/>
    <x v="9"/>
    <n v="90"/>
    <n v="84"/>
    <n v="25"/>
    <n v="199"/>
  </r>
  <r>
    <x v="2"/>
    <x v="0"/>
    <x v="10"/>
    <n v="80"/>
    <n v="72"/>
    <n v="25"/>
    <n v="177"/>
  </r>
  <r>
    <x v="2"/>
    <x v="0"/>
    <x v="11"/>
    <n v="78"/>
    <n v="85"/>
    <n v="30"/>
    <n v="193"/>
  </r>
  <r>
    <x v="2"/>
    <x v="3"/>
    <x v="12"/>
    <n v="86"/>
    <n v="70"/>
    <n v="30"/>
    <n v="186"/>
  </r>
  <r>
    <x v="2"/>
    <x v="1"/>
    <x v="13"/>
    <n v="70"/>
    <n v="78"/>
    <n v="25"/>
    <n v="1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1" cacheId="3" dataOnRows="1" applyNumberFormats="0" applyBorderFormats="0" applyFontFormats="0" applyPatternFormats="0" applyAlignmentFormats="0" applyWidthHeightFormats="1" dataCaption="값" updatedVersion="6" minRefreshableVersion="3" useAutoFormatting="1" rowGrandTotals="0" colGrandTotals="0" itemPrintTitles="1" createdVersion="6" indent="0" outline="1" outlineData="1" multipleFieldFilters="0">
  <location ref="A26:E39" firstHeaderRow="1" firstDataRow="2" firstDataCol="1"/>
  <pivotFields count="8">
    <pivotField showAll="0"/>
    <pivotField axis="axisCol" showAll="0">
      <items count="5">
        <item x="3"/>
        <item x="1"/>
        <item x="2"/>
        <item x="0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dataField="1" numFmtId="179" showAll="0"/>
    <pivotField dataField="1" numFmtId="179" showAll="0"/>
    <pivotField showAll="0"/>
    <pivotField numFmtId="179" showAll="0"/>
    <pivotField numFmtId="179" showAll="0"/>
  </pivotFields>
  <rowFields count="2">
    <field x="2"/>
    <field x="-2"/>
  </rowFields>
  <rowItems count="12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</rowItems>
  <colFields count="1">
    <field x="1"/>
  </colFields>
  <colItems count="4">
    <i>
      <x/>
    </i>
    <i>
      <x v="1"/>
    </i>
    <i>
      <x v="2"/>
    </i>
    <i>
      <x v="3"/>
    </i>
  </colItems>
  <dataFields count="2">
    <dataField name="평균 : 기본급" fld="3" subtotal="average" baseField="2" baseItem="0"/>
    <dataField name="합계 : 수당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2" cacheId="8" dataOnRows="1" applyNumberFormats="0" applyBorderFormats="0" applyFontFormats="0" applyPatternFormats="0" applyAlignmentFormats="0" applyWidthHeightFormats="1" dataCaption="값" updatedVersion="6" minRefreshableVersion="3" useAutoFormatting="1" rowGrandTotals="0" itemPrintTitles="1" createdVersion="6" indent="0" outline="1" outlineData="1" multipleFieldFilters="0">
  <location ref="A22:E35" firstHeaderRow="1" firstDataRow="2" firstDataCol="1" rowPageCount="1" colPageCount="1"/>
  <pivotFields count="7">
    <pivotField axis="axisCol" showAll="0">
      <items count="4">
        <item x="0"/>
        <item x="1"/>
        <item x="2"/>
        <item t="default"/>
      </items>
    </pivotField>
    <pivotField axis="axisRow" showAll="0">
      <items count="5">
        <item x="2"/>
        <item x="3"/>
        <item x="0"/>
        <item x="1"/>
        <item t="default"/>
      </items>
    </pivotField>
    <pivotField axis="axisPage" showAll="0">
      <items count="15">
        <item x="3"/>
        <item x="10"/>
        <item x="11"/>
        <item x="0"/>
        <item x="6"/>
        <item x="7"/>
        <item x="1"/>
        <item x="12"/>
        <item x="4"/>
        <item x="2"/>
        <item x="5"/>
        <item x="13"/>
        <item x="9"/>
        <item x="8"/>
        <item t="default"/>
      </items>
    </pivotField>
    <pivotField showAll="0"/>
    <pivotField dataField="1" showAll="0"/>
    <pivotField showAll="0"/>
    <pivotField dataField="1" showAll="0"/>
  </pivotFields>
  <rowFields count="2">
    <field x="1"/>
    <field x="-2"/>
  </rowFields>
  <rowItems count="12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</rowItems>
  <colFields count="1">
    <field x="0"/>
  </colFields>
  <colItems count="4">
    <i>
      <x/>
    </i>
    <i>
      <x v="1"/>
    </i>
    <i>
      <x v="2"/>
    </i>
    <i t="grand">
      <x/>
    </i>
  </colItems>
  <pageFields count="1">
    <pageField fld="2" hier="-1"/>
  </pageFields>
  <dataFields count="2">
    <dataField name="평균 : 총  점" fld="6" subtotal="average" baseField="1" baseItem="0"/>
    <dataField name="최대값 : 외국어 점수" fld="4" subtotal="max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"/>
  <sheetViews>
    <sheetView tabSelected="1" workbookViewId="0">
      <selection activeCell="H5" sqref="H5"/>
    </sheetView>
  </sheetViews>
  <sheetFormatPr defaultRowHeight="16.5"/>
  <cols>
    <col min="1" max="1" width="11.125" customWidth="1"/>
    <col min="3" max="3" width="11" customWidth="1"/>
    <col min="4" max="4" width="11.625" bestFit="1" customWidth="1"/>
    <col min="5" max="5" width="10.75" bestFit="1" customWidth="1"/>
    <col min="6" max="7" width="11.625" bestFit="1" customWidth="1"/>
  </cols>
  <sheetData>
    <row r="1" spans="1:5">
      <c r="A1" t="s">
        <v>0</v>
      </c>
    </row>
    <row r="3" spans="1:5">
      <c r="E3" s="20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2"/>
  <sheetViews>
    <sheetView workbookViewId="0">
      <selection activeCell="G16" sqref="G16"/>
    </sheetView>
  </sheetViews>
  <sheetFormatPr defaultRowHeight="16.5"/>
  <cols>
    <col min="1" max="1" width="9.75" customWidth="1"/>
    <col min="2" max="2" width="12.75" customWidth="1"/>
    <col min="3" max="5" width="10.375" customWidth="1"/>
    <col min="6" max="6" width="15" customWidth="1"/>
    <col min="7" max="7" width="11.5" bestFit="1" customWidth="1"/>
  </cols>
  <sheetData>
    <row r="1" spans="1:7" ht="22.5">
      <c r="A1" s="49" t="s">
        <v>1</v>
      </c>
      <c r="B1" s="49"/>
      <c r="C1" s="49"/>
      <c r="D1" s="49"/>
      <c r="E1" s="49"/>
      <c r="F1" s="49"/>
      <c r="G1" s="49"/>
    </row>
    <row r="2" spans="1:7">
      <c r="G2" t="s">
        <v>2</v>
      </c>
    </row>
    <row r="3" spans="1:7">
      <c r="A3" s="44" t="s">
        <v>3</v>
      </c>
      <c r="B3" s="44" t="s">
        <v>4</v>
      </c>
      <c r="C3" s="44" t="s">
        <v>5</v>
      </c>
      <c r="D3" s="44" t="s">
        <v>6</v>
      </c>
      <c r="E3" s="44" t="s">
        <v>7</v>
      </c>
      <c r="F3" s="44" t="s">
        <v>8</v>
      </c>
      <c r="G3" s="44" t="s">
        <v>9</v>
      </c>
    </row>
    <row r="4" spans="1:7">
      <c r="A4" s="45" t="s">
        <v>10</v>
      </c>
      <c r="B4" s="45" t="s">
        <v>11</v>
      </c>
      <c r="C4" s="46">
        <v>76500</v>
      </c>
      <c r="D4" s="47">
        <v>84500</v>
      </c>
      <c r="E4" s="45">
        <v>5</v>
      </c>
      <c r="F4" s="48">
        <v>0.10457516339869281</v>
      </c>
      <c r="G4" s="45" t="s">
        <v>12</v>
      </c>
    </row>
    <row r="5" spans="1:7">
      <c r="A5" s="45" t="s">
        <v>13</v>
      </c>
      <c r="B5" s="45" t="s">
        <v>14</v>
      </c>
      <c r="C5" s="46">
        <v>66500</v>
      </c>
      <c r="D5" s="47">
        <v>90500</v>
      </c>
      <c r="E5" s="45">
        <v>3</v>
      </c>
      <c r="F5" s="48">
        <v>0.36090225563909772</v>
      </c>
      <c r="G5" s="45" t="s">
        <v>15</v>
      </c>
    </row>
    <row r="6" spans="1:7">
      <c r="A6" s="45" t="s">
        <v>16</v>
      </c>
      <c r="B6" s="45" t="s">
        <v>17</v>
      </c>
      <c r="C6" s="46">
        <v>88500</v>
      </c>
      <c r="D6" s="47">
        <v>99500</v>
      </c>
      <c r="E6" s="45">
        <v>2</v>
      </c>
      <c r="F6" s="48">
        <v>0.12429378531073447</v>
      </c>
      <c r="G6" s="45" t="s">
        <v>12</v>
      </c>
    </row>
    <row r="7" spans="1:7">
      <c r="A7" s="45" t="s">
        <v>18</v>
      </c>
      <c r="B7" s="45" t="s">
        <v>19</v>
      </c>
      <c r="C7" s="46">
        <v>63500</v>
      </c>
      <c r="D7" s="47">
        <v>71500</v>
      </c>
      <c r="E7" s="45">
        <v>6</v>
      </c>
      <c r="F7" s="48">
        <v>0.12598425196850394</v>
      </c>
      <c r="G7" s="45" t="s">
        <v>12</v>
      </c>
    </row>
    <row r="8" spans="1:7">
      <c r="A8" s="45" t="s">
        <v>20</v>
      </c>
      <c r="B8" s="45" t="s">
        <v>21</v>
      </c>
      <c r="C8" s="46">
        <v>95000</v>
      </c>
      <c r="D8" s="47">
        <v>86500</v>
      </c>
      <c r="E8" s="45">
        <v>4</v>
      </c>
      <c r="F8" s="48">
        <v>-8.9473684210526316E-2</v>
      </c>
      <c r="G8" s="45" t="s">
        <v>22</v>
      </c>
    </row>
    <row r="9" spans="1:7">
      <c r="A9" s="45" t="s">
        <v>23</v>
      </c>
      <c r="B9" s="45" t="s">
        <v>24</v>
      </c>
      <c r="C9" s="46">
        <v>76500</v>
      </c>
      <c r="D9" s="47">
        <v>66500</v>
      </c>
      <c r="E9" s="45">
        <v>7</v>
      </c>
      <c r="F9" s="48">
        <v>-0.13071895424836602</v>
      </c>
      <c r="G9" s="45" t="s">
        <v>22</v>
      </c>
    </row>
    <row r="10" spans="1:7">
      <c r="A10" s="45" t="s">
        <v>25</v>
      </c>
      <c r="B10" s="45" t="s">
        <v>26</v>
      </c>
      <c r="C10" s="46">
        <v>46500</v>
      </c>
      <c r="D10" s="47">
        <v>36500</v>
      </c>
      <c r="E10" s="45">
        <v>9</v>
      </c>
      <c r="F10" s="48">
        <v>-0.21505376344086022</v>
      </c>
      <c r="G10" s="45" t="s">
        <v>22</v>
      </c>
    </row>
    <row r="11" spans="1:7">
      <c r="A11" s="45" t="s">
        <v>27</v>
      </c>
      <c r="B11" s="45" t="s">
        <v>28</v>
      </c>
      <c r="C11" s="46">
        <v>76500</v>
      </c>
      <c r="D11" s="47">
        <v>100500</v>
      </c>
      <c r="E11" s="45">
        <v>1</v>
      </c>
      <c r="F11" s="48">
        <v>0.31372549019607843</v>
      </c>
      <c r="G11" s="45" t="s">
        <v>15</v>
      </c>
    </row>
    <row r="12" spans="1:7">
      <c r="A12" s="45" t="s">
        <v>29</v>
      </c>
      <c r="B12" s="45" t="s">
        <v>30</v>
      </c>
      <c r="C12" s="46">
        <v>51500</v>
      </c>
      <c r="D12" s="47">
        <v>63400</v>
      </c>
      <c r="E12" s="45">
        <v>8</v>
      </c>
      <c r="F12" s="48">
        <v>0.23106796116504855</v>
      </c>
      <c r="G12" s="45" t="s">
        <v>12</v>
      </c>
    </row>
  </sheetData>
  <mergeCells count="1">
    <mergeCell ref="A1:G1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5"/>
  <sheetViews>
    <sheetView workbookViewId="0">
      <selection activeCell="K15" sqref="K15"/>
    </sheetView>
  </sheetViews>
  <sheetFormatPr defaultRowHeight="16.5"/>
  <cols>
    <col min="5" max="8" width="12.25" customWidth="1"/>
  </cols>
  <sheetData>
    <row r="1" spans="1:8" ht="26.25">
      <c r="A1" s="50" t="s">
        <v>31</v>
      </c>
      <c r="B1" s="50"/>
      <c r="C1" s="50"/>
      <c r="D1" s="50"/>
      <c r="E1" s="50"/>
      <c r="F1" s="50"/>
      <c r="G1" s="50"/>
      <c r="H1" s="50"/>
    </row>
    <row r="2" spans="1:8">
      <c r="A2" s="51"/>
      <c r="B2" s="51"/>
      <c r="C2" s="1"/>
      <c r="D2" s="1"/>
      <c r="E2" s="1"/>
      <c r="F2" s="1"/>
      <c r="G2" s="1"/>
      <c r="H2" s="2" t="s">
        <v>32</v>
      </c>
    </row>
    <row r="3" spans="1:8">
      <c r="A3" s="3" t="s">
        <v>33</v>
      </c>
      <c r="B3" s="3" t="s">
        <v>34</v>
      </c>
      <c r="C3" s="3" t="s">
        <v>35</v>
      </c>
      <c r="D3" s="3" t="s">
        <v>36</v>
      </c>
      <c r="E3" s="3" t="s">
        <v>37</v>
      </c>
      <c r="F3" s="3" t="s">
        <v>38</v>
      </c>
      <c r="G3" s="3" t="s">
        <v>39</v>
      </c>
      <c r="H3" s="3" t="s">
        <v>40</v>
      </c>
    </row>
    <row r="4" spans="1:8">
      <c r="A4" s="3" t="s">
        <v>41</v>
      </c>
      <c r="B4" s="3" t="s">
        <v>42</v>
      </c>
      <c r="C4" s="3" t="s">
        <v>43</v>
      </c>
      <c r="D4" s="3">
        <v>6</v>
      </c>
      <c r="E4" s="4">
        <v>1200000</v>
      </c>
      <c r="F4" s="5">
        <v>0.03</v>
      </c>
      <c r="G4" s="4">
        <v>156000</v>
      </c>
      <c r="H4" s="4">
        <v>1356000</v>
      </c>
    </row>
    <row r="5" spans="1:8">
      <c r="A5" s="3" t="s">
        <v>44</v>
      </c>
      <c r="B5" s="3" t="s">
        <v>45</v>
      </c>
      <c r="C5" s="3" t="s">
        <v>46</v>
      </c>
      <c r="D5" s="3">
        <v>12</v>
      </c>
      <c r="E5" s="4">
        <v>995000</v>
      </c>
      <c r="F5" s="6">
        <v>0.05</v>
      </c>
      <c r="G5" s="4">
        <v>149250</v>
      </c>
      <c r="H5" s="4">
        <v>1144250</v>
      </c>
    </row>
    <row r="6" spans="1:8">
      <c r="A6" s="3" t="s">
        <v>47</v>
      </c>
      <c r="B6" s="3" t="s">
        <v>48</v>
      </c>
      <c r="C6" s="3" t="s">
        <v>49</v>
      </c>
      <c r="D6" s="3">
        <v>30</v>
      </c>
      <c r="E6" s="4">
        <v>1450000</v>
      </c>
      <c r="F6" s="5">
        <v>0.1</v>
      </c>
      <c r="G6" s="4">
        <v>290000</v>
      </c>
      <c r="H6" s="4">
        <v>1740000</v>
      </c>
    </row>
    <row r="7" spans="1:8">
      <c r="A7" s="3" t="s">
        <v>50</v>
      </c>
      <c r="B7" s="3" t="s">
        <v>51</v>
      </c>
      <c r="C7" s="3" t="s">
        <v>43</v>
      </c>
      <c r="D7" s="3">
        <v>15</v>
      </c>
      <c r="E7" s="4">
        <v>1200000</v>
      </c>
      <c r="F7" s="5">
        <v>0.05</v>
      </c>
      <c r="G7" s="4">
        <v>180000</v>
      </c>
      <c r="H7" s="4">
        <v>1380000</v>
      </c>
    </row>
    <row r="8" spans="1:8">
      <c r="A8" s="3" t="s">
        <v>52</v>
      </c>
      <c r="B8" s="3" t="s">
        <v>51</v>
      </c>
      <c r="C8" s="3" t="s">
        <v>53</v>
      </c>
      <c r="D8" s="3">
        <v>10</v>
      </c>
      <c r="E8" s="4">
        <v>1350000</v>
      </c>
      <c r="F8" s="5">
        <v>7.0000000000000007E-2</v>
      </c>
      <c r="G8" s="4">
        <v>202500</v>
      </c>
      <c r="H8" s="4">
        <v>1552500</v>
      </c>
    </row>
    <row r="9" spans="1:8">
      <c r="A9" s="3" t="s">
        <v>54</v>
      </c>
      <c r="B9" s="3" t="s">
        <v>42</v>
      </c>
      <c r="C9" s="3" t="s">
        <v>49</v>
      </c>
      <c r="D9" s="3">
        <v>24</v>
      </c>
      <c r="E9" s="4">
        <v>1450000</v>
      </c>
      <c r="F9" s="5">
        <v>7.0000000000000007E-2</v>
      </c>
      <c r="G9" s="4">
        <v>246500</v>
      </c>
      <c r="H9" s="4">
        <v>1696500</v>
      </c>
    </row>
    <row r="10" spans="1:8">
      <c r="A10" s="3" t="s">
        <v>55</v>
      </c>
      <c r="B10" s="3" t="s">
        <v>48</v>
      </c>
      <c r="C10" s="3" t="s">
        <v>43</v>
      </c>
      <c r="D10" s="3">
        <v>18</v>
      </c>
      <c r="E10" s="4">
        <v>1200000</v>
      </c>
      <c r="F10" s="5">
        <v>0.05</v>
      </c>
      <c r="G10" s="4">
        <v>180000</v>
      </c>
      <c r="H10" s="4">
        <v>1380000</v>
      </c>
    </row>
    <row r="11" spans="1:8">
      <c r="A11" s="3" t="s">
        <v>56</v>
      </c>
      <c r="B11" s="3" t="s">
        <v>48</v>
      </c>
      <c r="C11" s="3" t="s">
        <v>53</v>
      </c>
      <c r="D11" s="3">
        <v>20</v>
      </c>
      <c r="E11" s="4">
        <v>1350000</v>
      </c>
      <c r="F11" s="5">
        <v>7.0000000000000007E-2</v>
      </c>
      <c r="G11" s="4">
        <v>229500</v>
      </c>
      <c r="H11" s="4">
        <v>1579500</v>
      </c>
    </row>
    <row r="12" spans="1:8">
      <c r="A12" s="3" t="s">
        <v>57</v>
      </c>
      <c r="B12" s="3" t="s">
        <v>58</v>
      </c>
      <c r="C12" s="3" t="s">
        <v>59</v>
      </c>
      <c r="D12" s="3">
        <v>24</v>
      </c>
      <c r="E12" s="7">
        <v>1055000</v>
      </c>
      <c r="F12" s="6">
        <v>7.0000000000000007E-2</v>
      </c>
      <c r="G12" s="4">
        <v>179350</v>
      </c>
      <c r="H12" s="4">
        <v>1234350</v>
      </c>
    </row>
    <row r="13" spans="1:8">
      <c r="A13" s="3" t="s">
        <v>60</v>
      </c>
      <c r="B13" s="3" t="s">
        <v>42</v>
      </c>
      <c r="C13" s="3" t="s">
        <v>53</v>
      </c>
      <c r="D13" s="3">
        <v>25</v>
      </c>
      <c r="E13" s="4">
        <v>1350000</v>
      </c>
      <c r="F13" s="5">
        <v>7.0000000000000007E-2</v>
      </c>
      <c r="G13" s="4">
        <v>229500</v>
      </c>
      <c r="H13" s="4">
        <v>1579500</v>
      </c>
    </row>
    <row r="14" spans="1:8">
      <c r="A14" s="3" t="s">
        <v>61</v>
      </c>
      <c r="B14" s="3" t="s">
        <v>51</v>
      </c>
      <c r="C14" s="3" t="s">
        <v>49</v>
      </c>
      <c r="D14" s="3">
        <v>28</v>
      </c>
      <c r="E14" s="4">
        <v>1450000</v>
      </c>
      <c r="F14" s="5">
        <v>7.0000000000000007E-2</v>
      </c>
      <c r="G14" s="4">
        <v>246500</v>
      </c>
      <c r="H14" s="4">
        <v>1696500</v>
      </c>
    </row>
    <row r="15" spans="1:8">
      <c r="A15" s="3" t="s">
        <v>62</v>
      </c>
      <c r="B15" s="3" t="s">
        <v>63</v>
      </c>
      <c r="C15" s="3" t="s">
        <v>64</v>
      </c>
      <c r="D15" s="3">
        <v>19</v>
      </c>
      <c r="E15" s="7">
        <v>1125000</v>
      </c>
      <c r="F15" s="6">
        <v>0.05</v>
      </c>
      <c r="G15" s="4">
        <v>168750</v>
      </c>
      <c r="H15" s="4">
        <v>1293750</v>
      </c>
    </row>
  </sheetData>
  <mergeCells count="2">
    <mergeCell ref="A1:H1"/>
    <mergeCell ref="A2:B2"/>
  </mergeCells>
  <phoneticPr fontId="1" type="noConversion"/>
  <conditionalFormatting sqref="A4:H15">
    <cfRule type="expression" dxfId="1" priority="1">
      <formula>AND($C4="부장",$E4&gt;=1400000)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50"/>
  <sheetViews>
    <sheetView topLeftCell="A27" workbookViewId="0">
      <selection activeCell="C48" sqref="C48"/>
    </sheetView>
  </sheetViews>
  <sheetFormatPr defaultRowHeight="16.5"/>
  <cols>
    <col min="1" max="1" width="10.625" customWidth="1"/>
    <col min="2" max="2" width="12.375" customWidth="1"/>
    <col min="3" max="3" width="11.25" customWidth="1"/>
    <col min="6" max="6" width="11.25" customWidth="1"/>
    <col min="7" max="7" width="10.625" customWidth="1"/>
    <col min="8" max="8" width="12.25" customWidth="1"/>
    <col min="9" max="9" width="16.375" bestFit="1" customWidth="1"/>
    <col min="11" max="13" width="9.875" customWidth="1"/>
  </cols>
  <sheetData>
    <row r="1" spans="1:14">
      <c r="A1" s="21" t="s">
        <v>104</v>
      </c>
      <c r="B1" s="22" t="s">
        <v>105</v>
      </c>
      <c r="C1" s="22"/>
      <c r="D1" s="22"/>
      <c r="F1" s="1"/>
      <c r="G1" s="26" t="s">
        <v>104</v>
      </c>
      <c r="H1" s="26" t="s">
        <v>121</v>
      </c>
      <c r="I1" s="26"/>
      <c r="J1" s="26"/>
      <c r="K1" s="1"/>
      <c r="L1" s="1"/>
      <c r="M1" s="1"/>
      <c r="N1" s="1"/>
    </row>
    <row r="2" spans="1:14">
      <c r="A2" s="23" t="s">
        <v>106</v>
      </c>
      <c r="B2" s="23" t="s">
        <v>107</v>
      </c>
      <c r="C2" s="23" t="s">
        <v>108</v>
      </c>
      <c r="D2" s="24" t="s">
        <v>109</v>
      </c>
      <c r="F2" s="1"/>
      <c r="G2" s="25" t="s">
        <v>122</v>
      </c>
      <c r="H2" s="25" t="s">
        <v>123</v>
      </c>
      <c r="I2" s="25" t="s">
        <v>124</v>
      </c>
      <c r="J2" s="27" t="s">
        <v>125</v>
      </c>
      <c r="K2" s="1"/>
      <c r="L2" s="1"/>
      <c r="M2" s="1"/>
      <c r="N2" s="1"/>
    </row>
    <row r="3" spans="1:14">
      <c r="A3" s="23" t="s">
        <v>110</v>
      </c>
      <c r="B3" s="23" t="s">
        <v>111</v>
      </c>
      <c r="C3" s="23">
        <v>82.5</v>
      </c>
      <c r="D3" s="25" t="str">
        <f t="shared" ref="D3:D11" si="0">IFERROR(CHOOSE(_xlfn.RANK.EQ(C3,$C$3:$C$11,0),"1등","2등","3등"),"순위")</f>
        <v>순위</v>
      </c>
      <c r="F3" s="1"/>
      <c r="G3" s="25" t="s">
        <v>126</v>
      </c>
      <c r="H3" s="25">
        <v>65</v>
      </c>
      <c r="I3" s="25">
        <v>75</v>
      </c>
      <c r="J3" s="25" t="str">
        <f t="shared" ref="J3:J8" si="1">IF(AND(AVERAGE($H$3:$H$8)&lt;=H3,AVERAGE($I$3:$I$8)&lt;=I3),"합격","불합격")</f>
        <v>불합격</v>
      </c>
      <c r="K3" s="1"/>
      <c r="L3" s="1"/>
      <c r="M3" s="1"/>
      <c r="N3" s="1"/>
    </row>
    <row r="4" spans="1:14">
      <c r="A4" s="23" t="s">
        <v>112</v>
      </c>
      <c r="B4" s="23" t="s">
        <v>113</v>
      </c>
      <c r="C4" s="23">
        <v>56.7</v>
      </c>
      <c r="D4" s="25" t="str">
        <f t="shared" si="0"/>
        <v>순위</v>
      </c>
      <c r="F4" s="1"/>
      <c r="G4" s="25" t="s">
        <v>68</v>
      </c>
      <c r="H4" s="25">
        <v>77</v>
      </c>
      <c r="I4" s="25">
        <v>85</v>
      </c>
      <c r="J4" s="25" t="str">
        <f t="shared" si="1"/>
        <v>합격</v>
      </c>
      <c r="K4" s="1"/>
      <c r="L4" s="1"/>
      <c r="M4" s="1"/>
      <c r="N4" s="1"/>
    </row>
    <row r="5" spans="1:14">
      <c r="A5" s="23" t="s">
        <v>114</v>
      </c>
      <c r="B5" s="23" t="s">
        <v>111</v>
      </c>
      <c r="C5" s="23">
        <v>98.5</v>
      </c>
      <c r="D5" s="25" t="str">
        <f t="shared" si="0"/>
        <v>1등</v>
      </c>
      <c r="F5" s="1"/>
      <c r="G5" s="25" t="s">
        <v>127</v>
      </c>
      <c r="H5" s="25">
        <v>85</v>
      </c>
      <c r="I5" s="25">
        <v>62</v>
      </c>
      <c r="J5" s="25" t="str">
        <f t="shared" si="1"/>
        <v>불합격</v>
      </c>
      <c r="K5" s="1"/>
      <c r="L5" s="1"/>
      <c r="M5" s="1"/>
      <c r="N5" s="1"/>
    </row>
    <row r="6" spans="1:14">
      <c r="A6" s="23" t="s">
        <v>115</v>
      </c>
      <c r="B6" s="23" t="s">
        <v>111</v>
      </c>
      <c r="C6" s="23">
        <v>92.4</v>
      </c>
      <c r="D6" s="25" t="str">
        <f t="shared" si="0"/>
        <v>3등</v>
      </c>
      <c r="F6" s="1"/>
      <c r="G6" s="25" t="s">
        <v>128</v>
      </c>
      <c r="H6" s="25">
        <v>90</v>
      </c>
      <c r="I6" s="25">
        <v>88</v>
      </c>
      <c r="J6" s="25" t="str">
        <f t="shared" si="1"/>
        <v>합격</v>
      </c>
      <c r="K6" s="1"/>
      <c r="L6" s="1"/>
      <c r="M6" s="1"/>
      <c r="N6" s="1"/>
    </row>
    <row r="7" spans="1:14">
      <c r="A7" s="23" t="s">
        <v>116</v>
      </c>
      <c r="B7" s="23" t="s">
        <v>113</v>
      </c>
      <c r="C7" s="23">
        <v>86.3</v>
      </c>
      <c r="D7" s="25" t="str">
        <f t="shared" si="0"/>
        <v>순위</v>
      </c>
      <c r="F7" s="1"/>
      <c r="G7" s="25" t="s">
        <v>129</v>
      </c>
      <c r="H7" s="25">
        <v>45</v>
      </c>
      <c r="I7" s="25">
        <v>55</v>
      </c>
      <c r="J7" s="25" t="str">
        <f t="shared" si="1"/>
        <v>불합격</v>
      </c>
      <c r="K7" s="1"/>
      <c r="L7" s="1"/>
      <c r="M7" s="1"/>
      <c r="N7" s="1"/>
    </row>
    <row r="8" spans="1:14">
      <c r="A8" s="23" t="s">
        <v>117</v>
      </c>
      <c r="B8" s="23" t="s">
        <v>111</v>
      </c>
      <c r="C8" s="23">
        <v>66.7</v>
      </c>
      <c r="D8" s="25" t="str">
        <f t="shared" si="0"/>
        <v>순위</v>
      </c>
      <c r="F8" s="1"/>
      <c r="G8" s="25" t="s">
        <v>130</v>
      </c>
      <c r="H8" s="25">
        <v>78</v>
      </c>
      <c r="I8" s="25">
        <v>78</v>
      </c>
      <c r="J8" s="25" t="str">
        <f t="shared" si="1"/>
        <v>합격</v>
      </c>
      <c r="K8" s="1"/>
      <c r="L8" s="1"/>
      <c r="M8" s="1"/>
      <c r="N8" s="1"/>
    </row>
    <row r="9" spans="1:14">
      <c r="A9" s="23" t="s">
        <v>118</v>
      </c>
      <c r="B9" s="23" t="s">
        <v>113</v>
      </c>
      <c r="C9" s="23">
        <v>43.6</v>
      </c>
      <c r="D9" s="25" t="str">
        <f t="shared" si="0"/>
        <v>순위</v>
      </c>
      <c r="F9" s="1"/>
      <c r="J9" s="1"/>
      <c r="K9" s="1"/>
      <c r="L9" s="1"/>
      <c r="M9" s="1"/>
      <c r="N9" s="1"/>
    </row>
    <row r="10" spans="1:14">
      <c r="A10" s="23" t="s">
        <v>119</v>
      </c>
      <c r="B10" s="23" t="s">
        <v>113</v>
      </c>
      <c r="C10" s="23">
        <v>97.2</v>
      </c>
      <c r="D10" s="25" t="str">
        <f t="shared" si="0"/>
        <v>2등</v>
      </c>
      <c r="F10" s="1"/>
      <c r="J10" s="1"/>
      <c r="K10" s="1"/>
      <c r="L10" s="1"/>
      <c r="M10" s="1"/>
      <c r="N10" s="1"/>
    </row>
    <row r="11" spans="1:14">
      <c r="A11" s="23" t="s">
        <v>120</v>
      </c>
      <c r="B11" s="23" t="s">
        <v>113</v>
      </c>
      <c r="C11" s="23">
        <v>78.900000000000006</v>
      </c>
      <c r="D11" s="25" t="str">
        <f t="shared" si="0"/>
        <v>순위</v>
      </c>
      <c r="F11" s="1"/>
      <c r="J11" s="1"/>
      <c r="K11" s="1"/>
      <c r="L11" s="1"/>
      <c r="M11" s="1"/>
      <c r="N11" s="1"/>
    </row>
    <row r="12" spans="1:1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4" spans="1:14">
      <c r="A14" s="21" t="s">
        <v>151</v>
      </c>
      <c r="B14" s="22" t="s">
        <v>131</v>
      </c>
      <c r="C14" s="26"/>
      <c r="D14" s="26"/>
      <c r="E14" s="28" t="s">
        <v>132</v>
      </c>
      <c r="F14" s="26"/>
    </row>
    <row r="15" spans="1:14">
      <c r="A15" s="25" t="s">
        <v>133</v>
      </c>
      <c r="B15" s="25" t="s">
        <v>134</v>
      </c>
      <c r="C15" s="27" t="s">
        <v>71</v>
      </c>
      <c r="D15" s="29"/>
      <c r="E15" s="25" t="s">
        <v>135</v>
      </c>
      <c r="F15" s="25" t="s">
        <v>136</v>
      </c>
    </row>
    <row r="16" spans="1:14">
      <c r="A16" s="25" t="s">
        <v>137</v>
      </c>
      <c r="B16" s="30">
        <v>13</v>
      </c>
      <c r="C16" s="30">
        <f t="shared" ref="C16:C22" si="2">VLOOKUP(LEFT(A16,2),$E$16:$F$22,2,FALSE)*B16</f>
        <v>3524989</v>
      </c>
      <c r="D16" s="31"/>
      <c r="E16" s="25" t="s">
        <v>138</v>
      </c>
      <c r="F16" s="32">
        <v>1800000</v>
      </c>
    </row>
    <row r="17" spans="1:10">
      <c r="A17" s="25" t="s">
        <v>139</v>
      </c>
      <c r="B17" s="30">
        <v>5</v>
      </c>
      <c r="C17" s="30">
        <f t="shared" si="2"/>
        <v>2750000</v>
      </c>
      <c r="D17" s="33"/>
      <c r="E17" s="25" t="s">
        <v>140</v>
      </c>
      <c r="F17" s="32">
        <v>550000</v>
      </c>
    </row>
    <row r="18" spans="1:10">
      <c r="A18" s="25" t="s">
        <v>141</v>
      </c>
      <c r="B18" s="30">
        <v>20</v>
      </c>
      <c r="C18" s="30">
        <f t="shared" si="2"/>
        <v>1120000</v>
      </c>
      <c r="D18" s="33"/>
      <c r="E18" s="25" t="s">
        <v>142</v>
      </c>
      <c r="F18" s="34">
        <v>1032600</v>
      </c>
    </row>
    <row r="19" spans="1:10">
      <c r="A19" s="25" t="s">
        <v>143</v>
      </c>
      <c r="B19" s="30">
        <v>8</v>
      </c>
      <c r="C19" s="30">
        <f t="shared" si="2"/>
        <v>8260800</v>
      </c>
      <c r="D19" s="33"/>
      <c r="E19" s="25" t="s">
        <v>144</v>
      </c>
      <c r="F19" s="32">
        <v>1371500</v>
      </c>
    </row>
    <row r="20" spans="1:10">
      <c r="A20" s="25" t="s">
        <v>145</v>
      </c>
      <c r="B20" s="30">
        <v>6</v>
      </c>
      <c r="C20" s="30">
        <f t="shared" si="2"/>
        <v>8229000</v>
      </c>
      <c r="D20" s="33"/>
      <c r="E20" s="25" t="s">
        <v>146</v>
      </c>
      <c r="F20" s="32">
        <v>271153</v>
      </c>
    </row>
    <row r="21" spans="1:10">
      <c r="A21" s="25" t="s">
        <v>147</v>
      </c>
      <c r="B21" s="30">
        <v>2</v>
      </c>
      <c r="C21" s="30">
        <f t="shared" si="2"/>
        <v>3600000</v>
      </c>
      <c r="D21" s="33"/>
      <c r="E21" s="25" t="s">
        <v>148</v>
      </c>
      <c r="F21" s="34">
        <v>56000</v>
      </c>
    </row>
    <row r="22" spans="1:10">
      <c r="A22" s="25" t="s">
        <v>149</v>
      </c>
      <c r="B22" s="30">
        <v>9</v>
      </c>
      <c r="C22" s="30">
        <f t="shared" si="2"/>
        <v>8010000</v>
      </c>
      <c r="D22" s="33"/>
      <c r="E22" s="25" t="s">
        <v>150</v>
      </c>
      <c r="F22" s="32">
        <v>890000</v>
      </c>
    </row>
    <row r="25" spans="1:10">
      <c r="A25" s="28" t="s">
        <v>169</v>
      </c>
      <c r="B25" s="35" t="s">
        <v>152</v>
      </c>
      <c r="C25" s="35"/>
      <c r="D25" s="35"/>
      <c r="E25" s="22"/>
      <c r="G25" s="21" t="s">
        <v>66</v>
      </c>
      <c r="H25" s="35" t="s">
        <v>170</v>
      </c>
      <c r="I25" s="35"/>
      <c r="J25" s="35"/>
    </row>
    <row r="26" spans="1:10">
      <c r="A26" s="23" t="s">
        <v>67</v>
      </c>
      <c r="B26" s="23" t="s">
        <v>153</v>
      </c>
      <c r="C26" s="23" t="s">
        <v>154</v>
      </c>
      <c r="D26" s="23" t="s">
        <v>155</v>
      </c>
      <c r="E26" s="25" t="s">
        <v>156</v>
      </c>
      <c r="G26" s="3" t="s">
        <v>171</v>
      </c>
      <c r="H26" s="3" t="s">
        <v>65</v>
      </c>
      <c r="I26" s="3" t="s">
        <v>172</v>
      </c>
      <c r="J26" s="27" t="s">
        <v>107</v>
      </c>
    </row>
    <row r="27" spans="1:10">
      <c r="A27" s="36" t="s">
        <v>157</v>
      </c>
      <c r="B27" s="23" t="s">
        <v>158</v>
      </c>
      <c r="C27" s="23" t="s">
        <v>159</v>
      </c>
      <c r="D27" s="23"/>
      <c r="E27" s="25"/>
      <c r="G27" s="12" t="s">
        <v>173</v>
      </c>
      <c r="H27" s="3" t="s">
        <v>174</v>
      </c>
      <c r="I27" s="37" t="s">
        <v>175</v>
      </c>
      <c r="J27" s="3" t="str">
        <f t="shared" ref="J27:J34" si="3">CHOOSE(MID(I27,8,1),"남","여","남","여")</f>
        <v>여</v>
      </c>
    </row>
    <row r="28" spans="1:10">
      <c r="A28" s="23" t="s">
        <v>160</v>
      </c>
      <c r="B28" s="23" t="s">
        <v>158</v>
      </c>
      <c r="C28" s="23"/>
      <c r="D28" s="23" t="s">
        <v>159</v>
      </c>
      <c r="E28" s="25"/>
      <c r="G28" s="12" t="s">
        <v>176</v>
      </c>
      <c r="H28" s="3" t="s">
        <v>177</v>
      </c>
      <c r="I28" s="37" t="s">
        <v>178</v>
      </c>
      <c r="J28" s="3" t="str">
        <f t="shared" si="3"/>
        <v>남</v>
      </c>
    </row>
    <row r="29" spans="1:10">
      <c r="A29" s="23" t="s">
        <v>161</v>
      </c>
      <c r="B29" s="23" t="s">
        <v>63</v>
      </c>
      <c r="C29" s="23"/>
      <c r="D29" s="23"/>
      <c r="E29" s="23" t="s">
        <v>159</v>
      </c>
      <c r="G29" s="12" t="s">
        <v>179</v>
      </c>
      <c r="H29" s="3" t="s">
        <v>180</v>
      </c>
      <c r="I29" s="37" t="s">
        <v>181</v>
      </c>
      <c r="J29" s="3" t="str">
        <f t="shared" si="3"/>
        <v>여</v>
      </c>
    </row>
    <row r="30" spans="1:10">
      <c r="A30" s="23" t="s">
        <v>162</v>
      </c>
      <c r="B30" s="23" t="s">
        <v>163</v>
      </c>
      <c r="C30" s="23" t="s">
        <v>159</v>
      </c>
      <c r="D30" s="23"/>
      <c r="E30" s="25"/>
      <c r="G30" s="12" t="s">
        <v>182</v>
      </c>
      <c r="H30" s="3" t="s">
        <v>183</v>
      </c>
      <c r="I30" s="37" t="s">
        <v>184</v>
      </c>
      <c r="J30" s="3" t="str">
        <f t="shared" si="3"/>
        <v>남</v>
      </c>
    </row>
    <row r="31" spans="1:10">
      <c r="A31" s="23" t="s">
        <v>164</v>
      </c>
      <c r="B31" s="23" t="s">
        <v>158</v>
      </c>
      <c r="C31" s="23"/>
      <c r="D31" s="23" t="s">
        <v>159</v>
      </c>
      <c r="E31" s="25"/>
      <c r="G31" s="12" t="s">
        <v>185</v>
      </c>
      <c r="H31" s="3" t="s">
        <v>186</v>
      </c>
      <c r="I31" s="37" t="s">
        <v>187</v>
      </c>
      <c r="J31" s="3" t="str">
        <f t="shared" si="3"/>
        <v>남</v>
      </c>
    </row>
    <row r="32" spans="1:10">
      <c r="A32" s="23" t="s">
        <v>165</v>
      </c>
      <c r="B32" s="23" t="s">
        <v>63</v>
      </c>
      <c r="C32" s="23"/>
      <c r="D32" s="23"/>
      <c r="E32" s="23" t="s">
        <v>159</v>
      </c>
      <c r="G32" s="12" t="s">
        <v>188</v>
      </c>
      <c r="H32" s="3" t="s">
        <v>189</v>
      </c>
      <c r="I32" s="38" t="s">
        <v>190</v>
      </c>
      <c r="J32" s="3" t="str">
        <f t="shared" si="3"/>
        <v>남</v>
      </c>
    </row>
    <row r="33" spans="1:10">
      <c r="A33" s="23" t="s">
        <v>166</v>
      </c>
      <c r="B33" s="23" t="s">
        <v>163</v>
      </c>
      <c r="C33" s="23" t="s">
        <v>159</v>
      </c>
      <c r="D33" s="23"/>
      <c r="E33" s="25"/>
      <c r="G33" s="12" t="s">
        <v>191</v>
      </c>
      <c r="H33" s="3" t="s">
        <v>192</v>
      </c>
      <c r="I33" s="37" t="s">
        <v>193</v>
      </c>
      <c r="J33" s="3" t="str">
        <f t="shared" si="3"/>
        <v>남</v>
      </c>
    </row>
    <row r="34" spans="1:10">
      <c r="A34" s="23" t="s">
        <v>167</v>
      </c>
      <c r="B34" s="23" t="s">
        <v>63</v>
      </c>
      <c r="C34" s="23"/>
      <c r="D34" s="23" t="s">
        <v>159</v>
      </c>
      <c r="E34" s="25"/>
      <c r="G34" s="12" t="s">
        <v>194</v>
      </c>
      <c r="H34" s="3" t="s">
        <v>195</v>
      </c>
      <c r="I34" s="37" t="s">
        <v>196</v>
      </c>
      <c r="J34" s="3" t="str">
        <f t="shared" si="3"/>
        <v>여</v>
      </c>
    </row>
    <row r="35" spans="1:10">
      <c r="A35" s="26"/>
      <c r="B35" s="26"/>
      <c r="C35" s="26"/>
      <c r="D35" s="26"/>
      <c r="E35" s="26"/>
    </row>
    <row r="36" spans="1:10">
      <c r="A36" s="23" t="s">
        <v>153</v>
      </c>
      <c r="B36" s="26"/>
      <c r="C36" s="52" t="s">
        <v>168</v>
      </c>
      <c r="D36" s="52"/>
      <c r="E36" s="52"/>
    </row>
    <row r="37" spans="1:10">
      <c r="A37" s="23" t="s">
        <v>158</v>
      </c>
      <c r="B37" s="26"/>
      <c r="C37" s="53">
        <f>DCOUNTA(A26:E34,D26,A36:A37)</f>
        <v>2</v>
      </c>
      <c r="D37" s="53"/>
      <c r="E37" s="53"/>
    </row>
    <row r="40" spans="1:10">
      <c r="A40" t="s">
        <v>203</v>
      </c>
      <c r="B40" s="9" t="s">
        <v>197</v>
      </c>
    </row>
    <row r="41" spans="1:10">
      <c r="A41" s="19" t="s">
        <v>198</v>
      </c>
      <c r="B41" s="19" t="s">
        <v>199</v>
      </c>
      <c r="C41" s="39" t="s">
        <v>133</v>
      </c>
    </row>
    <row r="42" spans="1:10">
      <c r="A42" s="19" t="s">
        <v>200</v>
      </c>
      <c r="B42" s="40">
        <v>44506</v>
      </c>
      <c r="C42" s="19" t="str">
        <f t="shared" ref="C42:C50" si="4">UPPER(A42)&amp;"-"&amp;MONTH(B42)</f>
        <v>COM-11</v>
      </c>
    </row>
    <row r="43" spans="1:10">
      <c r="A43" s="19" t="s">
        <v>201</v>
      </c>
      <c r="B43" s="40">
        <v>44506</v>
      </c>
      <c r="C43" s="19" t="str">
        <f t="shared" si="4"/>
        <v>MOU-11</v>
      </c>
    </row>
    <row r="44" spans="1:10">
      <c r="A44" s="19" t="s">
        <v>202</v>
      </c>
      <c r="B44" s="40">
        <v>44506</v>
      </c>
      <c r="C44" s="19" t="str">
        <f t="shared" si="4"/>
        <v>KEY-11</v>
      </c>
    </row>
    <row r="45" spans="1:10">
      <c r="A45" s="19" t="s">
        <v>200</v>
      </c>
      <c r="B45" s="40">
        <v>44535</v>
      </c>
      <c r="C45" s="19" t="str">
        <f t="shared" si="4"/>
        <v>COM-12</v>
      </c>
    </row>
    <row r="46" spans="1:10">
      <c r="A46" s="19" t="s">
        <v>201</v>
      </c>
      <c r="B46" s="40">
        <v>44535</v>
      </c>
      <c r="C46" s="19" t="str">
        <f t="shared" si="4"/>
        <v>MOU-12</v>
      </c>
    </row>
    <row r="47" spans="1:10">
      <c r="A47" s="19" t="s">
        <v>202</v>
      </c>
      <c r="B47" s="40">
        <v>44535</v>
      </c>
      <c r="C47" s="19" t="str">
        <f t="shared" si="4"/>
        <v>KEY-12</v>
      </c>
    </row>
    <row r="48" spans="1:10">
      <c r="A48" s="19" t="s">
        <v>200</v>
      </c>
      <c r="B48" s="40">
        <v>44564</v>
      </c>
      <c r="C48" s="19" t="str">
        <f t="shared" si="4"/>
        <v>COM-1</v>
      </c>
    </row>
    <row r="49" spans="1:3">
      <c r="A49" s="19" t="s">
        <v>201</v>
      </c>
      <c r="B49" s="40">
        <v>44564</v>
      </c>
      <c r="C49" s="19" t="str">
        <f t="shared" si="4"/>
        <v>MOU-1</v>
      </c>
    </row>
    <row r="50" spans="1:3">
      <c r="A50" s="19" t="s">
        <v>202</v>
      </c>
      <c r="B50" s="40">
        <v>44564</v>
      </c>
      <c r="C50" s="19" t="str">
        <f t="shared" si="4"/>
        <v>KEY-1</v>
      </c>
    </row>
  </sheetData>
  <mergeCells count="2">
    <mergeCell ref="C36:E36"/>
    <mergeCell ref="C37:E3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9"/>
  <sheetViews>
    <sheetView topLeftCell="A19" workbookViewId="0">
      <selection activeCell="H33" sqref="H32:H33"/>
    </sheetView>
  </sheetViews>
  <sheetFormatPr defaultRowHeight="16.5"/>
  <cols>
    <col min="1" max="1" width="17.375" customWidth="1"/>
    <col min="2" max="2" width="11.875" customWidth="1"/>
    <col min="3" max="3" width="12.75" customWidth="1"/>
    <col min="4" max="5" width="9.25" customWidth="1"/>
    <col min="6" max="6" width="13.125" customWidth="1"/>
    <col min="7" max="7" width="11.125" bestFit="1" customWidth="1"/>
    <col min="8" max="8" width="13.125" bestFit="1" customWidth="1"/>
    <col min="9" max="9" width="11.125" bestFit="1" customWidth="1"/>
    <col min="10" max="10" width="18" bestFit="1" customWidth="1"/>
    <col min="11" max="11" width="15.875" bestFit="1" customWidth="1"/>
  </cols>
  <sheetData>
    <row r="1" spans="1:8">
      <c r="A1" t="s">
        <v>204</v>
      </c>
    </row>
    <row r="3" spans="1:8">
      <c r="A3" s="19" t="s">
        <v>205</v>
      </c>
      <c r="B3" s="19" t="s">
        <v>206</v>
      </c>
      <c r="C3" s="19" t="s">
        <v>207</v>
      </c>
      <c r="D3" s="19" t="s">
        <v>208</v>
      </c>
      <c r="E3" s="19" t="s">
        <v>209</v>
      </c>
      <c r="F3" s="19" t="s">
        <v>210</v>
      </c>
      <c r="G3" s="19" t="s">
        <v>211</v>
      </c>
      <c r="H3" s="19" t="s">
        <v>212</v>
      </c>
    </row>
    <row r="4" spans="1:8">
      <c r="A4" s="19" t="s">
        <v>213</v>
      </c>
      <c r="B4" s="19" t="s">
        <v>214</v>
      </c>
      <c r="C4" s="19" t="s">
        <v>215</v>
      </c>
      <c r="D4" s="41">
        <v>2300000</v>
      </c>
      <c r="E4" s="41">
        <v>228000</v>
      </c>
      <c r="F4" s="42">
        <v>2</v>
      </c>
      <c r="G4" s="41">
        <v>90000</v>
      </c>
      <c r="H4" s="41">
        <v>100000</v>
      </c>
    </row>
    <row r="5" spans="1:8">
      <c r="A5" s="19" t="s">
        <v>216</v>
      </c>
      <c r="B5" s="19" t="s">
        <v>217</v>
      </c>
      <c r="C5" s="19" t="s">
        <v>218</v>
      </c>
      <c r="D5" s="41">
        <v>3300000</v>
      </c>
      <c r="E5" s="41">
        <v>460000</v>
      </c>
      <c r="F5" s="42">
        <v>3</v>
      </c>
      <c r="G5" s="41">
        <v>120000</v>
      </c>
      <c r="H5" s="41">
        <v>120000</v>
      </c>
    </row>
    <row r="6" spans="1:8">
      <c r="A6" s="19" t="s">
        <v>219</v>
      </c>
      <c r="B6" s="19" t="s">
        <v>220</v>
      </c>
      <c r="C6" s="19" t="s">
        <v>221</v>
      </c>
      <c r="D6" s="41">
        <v>3700000</v>
      </c>
      <c r="E6" s="41">
        <v>280000</v>
      </c>
      <c r="F6" s="42" t="s">
        <v>222</v>
      </c>
      <c r="G6" s="41">
        <v>90000</v>
      </c>
      <c r="H6" s="41">
        <v>60000</v>
      </c>
    </row>
    <row r="7" spans="1:8">
      <c r="A7" s="19" t="s">
        <v>223</v>
      </c>
      <c r="B7" s="19" t="s">
        <v>224</v>
      </c>
      <c r="C7" s="19" t="s">
        <v>225</v>
      </c>
      <c r="D7" s="41">
        <v>2300000</v>
      </c>
      <c r="E7" s="41">
        <v>240000</v>
      </c>
      <c r="F7" s="42">
        <v>4</v>
      </c>
      <c r="G7" s="41">
        <v>150000</v>
      </c>
      <c r="H7" s="41">
        <v>60000</v>
      </c>
    </row>
    <row r="8" spans="1:8">
      <c r="A8" s="19" t="s">
        <v>226</v>
      </c>
      <c r="B8" s="19" t="s">
        <v>217</v>
      </c>
      <c r="C8" s="19" t="s">
        <v>227</v>
      </c>
      <c r="D8" s="41">
        <v>2900000</v>
      </c>
      <c r="E8" s="41">
        <v>280000</v>
      </c>
      <c r="F8" s="42">
        <v>2</v>
      </c>
      <c r="G8" s="41">
        <v>60000</v>
      </c>
      <c r="H8" s="41">
        <v>130000</v>
      </c>
    </row>
    <row r="9" spans="1:8">
      <c r="A9" s="19" t="s">
        <v>228</v>
      </c>
      <c r="B9" s="19" t="s">
        <v>229</v>
      </c>
      <c r="C9" s="19" t="s">
        <v>230</v>
      </c>
      <c r="D9" s="41">
        <v>3600000</v>
      </c>
      <c r="E9" s="41">
        <v>200000</v>
      </c>
      <c r="F9" s="42" t="s">
        <v>222</v>
      </c>
      <c r="G9" s="41">
        <v>140000</v>
      </c>
      <c r="H9" s="41">
        <v>50000</v>
      </c>
    </row>
    <row r="10" spans="1:8">
      <c r="A10" s="19" t="s">
        <v>231</v>
      </c>
      <c r="B10" s="19" t="s">
        <v>214</v>
      </c>
      <c r="C10" s="19" t="s">
        <v>221</v>
      </c>
      <c r="D10" s="41">
        <v>2200000</v>
      </c>
      <c r="E10" s="41">
        <v>446000</v>
      </c>
      <c r="F10" s="42">
        <v>5</v>
      </c>
      <c r="G10" s="41">
        <v>100000</v>
      </c>
      <c r="H10" s="41">
        <v>50000</v>
      </c>
    </row>
    <row r="11" spans="1:8">
      <c r="A11" s="19" t="s">
        <v>232</v>
      </c>
      <c r="B11" s="19" t="s">
        <v>224</v>
      </c>
      <c r="C11" s="19" t="s">
        <v>215</v>
      </c>
      <c r="D11" s="41">
        <v>3600000</v>
      </c>
      <c r="E11" s="41">
        <v>228000</v>
      </c>
      <c r="F11" s="42">
        <v>2</v>
      </c>
      <c r="G11" s="41">
        <v>150000</v>
      </c>
      <c r="H11" s="41">
        <v>80000</v>
      </c>
    </row>
    <row r="12" spans="1:8">
      <c r="A12" s="19" t="s">
        <v>233</v>
      </c>
      <c r="B12" s="19" t="s">
        <v>214</v>
      </c>
      <c r="C12" s="19" t="s">
        <v>215</v>
      </c>
      <c r="D12" s="41">
        <v>2900000</v>
      </c>
      <c r="E12" s="41">
        <v>260000</v>
      </c>
      <c r="F12" s="42">
        <v>6</v>
      </c>
      <c r="G12" s="41">
        <v>90000</v>
      </c>
      <c r="H12" s="41">
        <v>70000</v>
      </c>
    </row>
    <row r="13" spans="1:8">
      <c r="A13" s="19" t="s">
        <v>234</v>
      </c>
      <c r="B13" s="19" t="s">
        <v>224</v>
      </c>
      <c r="C13" s="19" t="s">
        <v>230</v>
      </c>
      <c r="D13" s="41">
        <v>1600000</v>
      </c>
      <c r="E13" s="41">
        <v>246000</v>
      </c>
      <c r="F13" s="42" t="s">
        <v>222</v>
      </c>
      <c r="G13" s="41">
        <v>150000</v>
      </c>
      <c r="H13" s="41">
        <v>90000</v>
      </c>
    </row>
    <row r="14" spans="1:8">
      <c r="A14" s="19" t="s">
        <v>235</v>
      </c>
      <c r="B14" s="19" t="s">
        <v>214</v>
      </c>
      <c r="C14" s="19" t="s">
        <v>230</v>
      </c>
      <c r="D14" s="41">
        <v>2000000</v>
      </c>
      <c r="E14" s="41">
        <v>228000</v>
      </c>
      <c r="F14" s="42">
        <v>5</v>
      </c>
      <c r="G14" s="41">
        <v>70000</v>
      </c>
      <c r="H14" s="41">
        <v>50000</v>
      </c>
    </row>
    <row r="15" spans="1:8">
      <c r="A15" s="19" t="s">
        <v>236</v>
      </c>
      <c r="B15" s="19" t="s">
        <v>224</v>
      </c>
      <c r="C15" s="19" t="s">
        <v>230</v>
      </c>
      <c r="D15" s="41">
        <v>1700000</v>
      </c>
      <c r="E15" s="41">
        <v>440000</v>
      </c>
      <c r="F15" s="42">
        <v>3</v>
      </c>
      <c r="G15" s="41">
        <v>90000</v>
      </c>
      <c r="H15" s="41">
        <v>130000</v>
      </c>
    </row>
    <row r="16" spans="1:8">
      <c r="A16" s="19" t="s">
        <v>237</v>
      </c>
      <c r="B16" s="19" t="s">
        <v>224</v>
      </c>
      <c r="C16" s="19" t="s">
        <v>215</v>
      </c>
      <c r="D16" s="41">
        <v>3600000</v>
      </c>
      <c r="E16" s="41">
        <v>428000</v>
      </c>
      <c r="F16" s="42">
        <v>2</v>
      </c>
      <c r="G16" s="41">
        <v>90000</v>
      </c>
      <c r="H16" s="43">
        <v>110000</v>
      </c>
    </row>
    <row r="17" spans="1:8">
      <c r="A17" s="19" t="s">
        <v>238</v>
      </c>
      <c r="B17" s="19" t="s">
        <v>224</v>
      </c>
      <c r="C17" s="19" t="s">
        <v>225</v>
      </c>
      <c r="D17" s="41">
        <v>1600000</v>
      </c>
      <c r="E17" s="41">
        <v>228000</v>
      </c>
      <c r="F17" s="42" t="s">
        <v>222</v>
      </c>
      <c r="G17" s="41">
        <v>90000</v>
      </c>
      <c r="H17" s="41">
        <v>120000</v>
      </c>
    </row>
    <row r="18" spans="1:8">
      <c r="A18" s="19" t="s">
        <v>239</v>
      </c>
      <c r="B18" s="19" t="s">
        <v>220</v>
      </c>
      <c r="C18" s="19" t="s">
        <v>230</v>
      </c>
      <c r="D18" s="41">
        <v>3300000</v>
      </c>
      <c r="E18" s="41">
        <v>220000</v>
      </c>
      <c r="F18" s="42">
        <v>8</v>
      </c>
      <c r="G18" s="41">
        <v>150000</v>
      </c>
      <c r="H18" s="41">
        <v>130000</v>
      </c>
    </row>
    <row r="19" spans="1:8">
      <c r="A19" s="19" t="s">
        <v>240</v>
      </c>
      <c r="B19" s="19" t="s">
        <v>224</v>
      </c>
      <c r="C19" s="19" t="s">
        <v>221</v>
      </c>
      <c r="D19" s="41">
        <v>2500000</v>
      </c>
      <c r="E19" s="41">
        <v>200000</v>
      </c>
      <c r="F19" s="42">
        <v>7</v>
      </c>
      <c r="G19" s="41">
        <v>60000</v>
      </c>
      <c r="H19" s="41">
        <v>100000</v>
      </c>
    </row>
    <row r="20" spans="1:8">
      <c r="A20" s="19" t="s">
        <v>241</v>
      </c>
      <c r="B20" s="19" t="s">
        <v>217</v>
      </c>
      <c r="C20" s="19" t="s">
        <v>225</v>
      </c>
      <c r="D20" s="41">
        <v>1900000</v>
      </c>
      <c r="E20" s="41">
        <v>270000</v>
      </c>
      <c r="F20" s="42" t="s">
        <v>222</v>
      </c>
      <c r="G20" s="41">
        <v>100000</v>
      </c>
      <c r="H20" s="41">
        <v>100000</v>
      </c>
    </row>
    <row r="21" spans="1:8">
      <c r="A21" s="19" t="s">
        <v>242</v>
      </c>
      <c r="B21" s="19" t="s">
        <v>217</v>
      </c>
      <c r="C21" s="19" t="s">
        <v>225</v>
      </c>
      <c r="D21" s="41">
        <v>2800000</v>
      </c>
      <c r="E21" s="41">
        <v>420000</v>
      </c>
      <c r="F21" s="42">
        <v>3</v>
      </c>
      <c r="G21" s="41">
        <v>150000</v>
      </c>
      <c r="H21" s="41">
        <v>60000</v>
      </c>
    </row>
    <row r="26" spans="1:8">
      <c r="B26" s="56" t="s">
        <v>270</v>
      </c>
    </row>
    <row r="27" spans="1:8">
      <c r="A27" s="56" t="s">
        <v>268</v>
      </c>
      <c r="B27" t="s">
        <v>224</v>
      </c>
      <c r="C27" t="s">
        <v>217</v>
      </c>
      <c r="D27" t="s">
        <v>271</v>
      </c>
      <c r="E27" t="s">
        <v>214</v>
      </c>
    </row>
    <row r="28" spans="1:8">
      <c r="A28" s="57" t="s">
        <v>221</v>
      </c>
      <c r="B28" s="58"/>
      <c r="C28" s="58"/>
      <c r="D28" s="58"/>
      <c r="E28" s="58"/>
    </row>
    <row r="29" spans="1:8">
      <c r="A29" s="59" t="s">
        <v>272</v>
      </c>
      <c r="B29" s="58">
        <v>2500000</v>
      </c>
      <c r="C29" s="58">
        <v>2900000</v>
      </c>
      <c r="D29" s="58">
        <v>3700000</v>
      </c>
      <c r="E29" s="58">
        <v>2200000</v>
      </c>
    </row>
    <row r="30" spans="1:8">
      <c r="A30" s="59" t="s">
        <v>273</v>
      </c>
      <c r="B30" s="58">
        <v>200000</v>
      </c>
      <c r="C30" s="58">
        <v>280000</v>
      </c>
      <c r="D30" s="58">
        <v>280000</v>
      </c>
      <c r="E30" s="58">
        <v>446000</v>
      </c>
    </row>
    <row r="31" spans="1:8">
      <c r="A31" s="57" t="s">
        <v>215</v>
      </c>
      <c r="B31" s="58"/>
      <c r="C31" s="58"/>
      <c r="D31" s="58"/>
      <c r="E31" s="58"/>
    </row>
    <row r="32" spans="1:8">
      <c r="A32" s="59" t="s">
        <v>272</v>
      </c>
      <c r="B32" s="58">
        <v>3600000</v>
      </c>
      <c r="C32" s="58"/>
      <c r="D32" s="58"/>
      <c r="E32" s="58">
        <v>2600000</v>
      </c>
    </row>
    <row r="33" spans="1:5">
      <c r="A33" s="59" t="s">
        <v>273</v>
      </c>
      <c r="B33" s="58">
        <v>656000</v>
      </c>
      <c r="C33" s="58"/>
      <c r="D33" s="58"/>
      <c r="E33" s="58">
        <v>488000</v>
      </c>
    </row>
    <row r="34" spans="1:5">
      <c r="A34" s="57" t="s">
        <v>230</v>
      </c>
      <c r="B34" s="58"/>
      <c r="C34" s="58"/>
      <c r="D34" s="58"/>
      <c r="E34" s="58"/>
    </row>
    <row r="35" spans="1:5">
      <c r="A35" s="59" t="s">
        <v>272</v>
      </c>
      <c r="B35" s="58">
        <v>2300000</v>
      </c>
      <c r="C35" s="58"/>
      <c r="D35" s="58">
        <v>3300000</v>
      </c>
      <c r="E35" s="58">
        <v>2000000</v>
      </c>
    </row>
    <row r="36" spans="1:5">
      <c r="A36" s="59" t="s">
        <v>273</v>
      </c>
      <c r="B36" s="58">
        <v>886000</v>
      </c>
      <c r="C36" s="58"/>
      <c r="D36" s="58">
        <v>220000</v>
      </c>
      <c r="E36" s="58">
        <v>228000</v>
      </c>
    </row>
    <row r="37" spans="1:5">
      <c r="A37" s="57" t="s">
        <v>225</v>
      </c>
      <c r="B37" s="58"/>
      <c r="C37" s="58"/>
      <c r="D37" s="58"/>
      <c r="E37" s="58"/>
    </row>
    <row r="38" spans="1:5">
      <c r="A38" s="59" t="s">
        <v>272</v>
      </c>
      <c r="B38" s="58">
        <v>1950000</v>
      </c>
      <c r="C38" s="58">
        <v>2666666.6666666665</v>
      </c>
      <c r="D38" s="58"/>
      <c r="E38" s="58"/>
    </row>
    <row r="39" spans="1:5">
      <c r="A39" s="59" t="s">
        <v>273</v>
      </c>
      <c r="B39" s="58">
        <v>468000</v>
      </c>
      <c r="C39" s="58">
        <v>1150000</v>
      </c>
      <c r="D39" s="58"/>
      <c r="E39" s="58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5"/>
  <sheetViews>
    <sheetView topLeftCell="A16" workbookViewId="0">
      <selection activeCell="B28" sqref="B28"/>
    </sheetView>
  </sheetViews>
  <sheetFormatPr defaultRowHeight="16.5"/>
  <cols>
    <col min="1" max="1" width="24.25" customWidth="1"/>
    <col min="2" max="2" width="11.875" customWidth="1"/>
    <col min="3" max="4" width="7.375" customWidth="1"/>
    <col min="5" max="5" width="12.75" customWidth="1"/>
    <col min="6" max="6" width="12.5" customWidth="1"/>
    <col min="7" max="7" width="20.125" bestFit="1" customWidth="1"/>
    <col min="8" max="8" width="17.375" bestFit="1" customWidth="1"/>
    <col min="9" max="9" width="25" bestFit="1" customWidth="1"/>
  </cols>
  <sheetData>
    <row r="1" spans="1:7" ht="26.25">
      <c r="A1" s="50" t="s">
        <v>243</v>
      </c>
      <c r="B1" s="50"/>
      <c r="C1" s="50"/>
      <c r="D1" s="50"/>
      <c r="E1" s="50"/>
      <c r="F1" s="50"/>
      <c r="G1" s="50"/>
    </row>
    <row r="2" spans="1:7">
      <c r="A2" s="13"/>
      <c r="B2" s="13"/>
      <c r="C2" s="13"/>
      <c r="D2" s="13"/>
      <c r="E2" s="13"/>
      <c r="F2" s="13"/>
      <c r="G2" s="13"/>
    </row>
    <row r="3" spans="1:7">
      <c r="A3" s="10" t="s">
        <v>70</v>
      </c>
      <c r="B3" s="10" t="s">
        <v>244</v>
      </c>
      <c r="C3" s="10" t="s">
        <v>67</v>
      </c>
      <c r="D3" s="10" t="s">
        <v>245</v>
      </c>
      <c r="E3" s="10" t="s">
        <v>246</v>
      </c>
      <c r="F3" s="10" t="s">
        <v>247</v>
      </c>
      <c r="G3" s="10" t="s">
        <v>248</v>
      </c>
    </row>
    <row r="4" spans="1:7">
      <c r="A4" s="10" t="s">
        <v>249</v>
      </c>
      <c r="B4" s="10" t="s">
        <v>46</v>
      </c>
      <c r="C4" s="10" t="s">
        <v>250</v>
      </c>
      <c r="D4" s="10">
        <v>83</v>
      </c>
      <c r="E4" s="10">
        <v>68</v>
      </c>
      <c r="F4" s="10">
        <v>20</v>
      </c>
      <c r="G4" s="10">
        <f>SUM(D4:F4)</f>
        <v>171</v>
      </c>
    </row>
    <row r="5" spans="1:7">
      <c r="A5" s="10" t="s">
        <v>249</v>
      </c>
      <c r="B5" s="10" t="s">
        <v>251</v>
      </c>
      <c r="C5" s="10" t="s">
        <v>252</v>
      </c>
      <c r="D5" s="10">
        <v>88</v>
      </c>
      <c r="E5" s="10">
        <v>75</v>
      </c>
      <c r="F5" s="10">
        <v>25</v>
      </c>
      <c r="G5" s="10">
        <f t="shared" ref="G5:G17" si="0">SUM(D5:F5)</f>
        <v>188</v>
      </c>
    </row>
    <row r="6" spans="1:7">
      <c r="A6" s="10" t="s">
        <v>249</v>
      </c>
      <c r="B6" s="10" t="s">
        <v>46</v>
      </c>
      <c r="C6" s="10" t="s">
        <v>253</v>
      </c>
      <c r="D6" s="10">
        <v>80</v>
      </c>
      <c r="E6" s="10">
        <v>90</v>
      </c>
      <c r="F6" s="10">
        <v>20</v>
      </c>
      <c r="G6" s="10">
        <f t="shared" si="0"/>
        <v>190</v>
      </c>
    </row>
    <row r="7" spans="1:7">
      <c r="A7" s="10" t="s">
        <v>254</v>
      </c>
      <c r="B7" s="10" t="s">
        <v>255</v>
      </c>
      <c r="C7" s="10" t="s">
        <v>103</v>
      </c>
      <c r="D7" s="10">
        <v>85</v>
      </c>
      <c r="E7" s="10">
        <v>80</v>
      </c>
      <c r="F7" s="10">
        <v>15</v>
      </c>
      <c r="G7" s="10">
        <f t="shared" si="0"/>
        <v>180</v>
      </c>
    </row>
    <row r="8" spans="1:7">
      <c r="A8" s="10" t="s">
        <v>163</v>
      </c>
      <c r="B8" s="10" t="s">
        <v>255</v>
      </c>
      <c r="C8" s="10" t="s">
        <v>256</v>
      </c>
      <c r="D8" s="10">
        <v>91</v>
      </c>
      <c r="E8" s="10">
        <v>85</v>
      </c>
      <c r="F8" s="10">
        <v>25</v>
      </c>
      <c r="G8" s="10">
        <f t="shared" si="0"/>
        <v>201</v>
      </c>
    </row>
    <row r="9" spans="1:7">
      <c r="A9" s="10" t="s">
        <v>163</v>
      </c>
      <c r="B9" s="10" t="s">
        <v>257</v>
      </c>
      <c r="C9" s="10" t="s">
        <v>258</v>
      </c>
      <c r="D9" s="10">
        <v>82</v>
      </c>
      <c r="E9" s="10">
        <v>68</v>
      </c>
      <c r="F9" s="10">
        <v>30</v>
      </c>
      <c r="G9" s="10">
        <f t="shared" si="0"/>
        <v>180</v>
      </c>
    </row>
    <row r="10" spans="1:7">
      <c r="A10" s="10" t="s">
        <v>163</v>
      </c>
      <c r="B10" s="10" t="s">
        <v>251</v>
      </c>
      <c r="C10" s="10" t="s">
        <v>259</v>
      </c>
      <c r="D10" s="10">
        <v>65</v>
      </c>
      <c r="E10" s="10">
        <v>74</v>
      </c>
      <c r="F10" s="10">
        <v>15</v>
      </c>
      <c r="G10" s="10">
        <f t="shared" si="0"/>
        <v>154</v>
      </c>
    </row>
    <row r="11" spans="1:7">
      <c r="A11" s="10" t="s">
        <v>163</v>
      </c>
      <c r="B11" s="10" t="s">
        <v>72</v>
      </c>
      <c r="C11" s="10" t="s">
        <v>260</v>
      </c>
      <c r="D11" s="10">
        <v>75</v>
      </c>
      <c r="E11" s="10">
        <v>78</v>
      </c>
      <c r="F11" s="10">
        <v>20</v>
      </c>
      <c r="G11" s="10">
        <f t="shared" si="0"/>
        <v>173</v>
      </c>
    </row>
    <row r="12" spans="1:7">
      <c r="A12" s="10" t="s">
        <v>163</v>
      </c>
      <c r="B12" s="10" t="s">
        <v>46</v>
      </c>
      <c r="C12" s="10" t="s">
        <v>261</v>
      </c>
      <c r="D12" s="10">
        <v>82</v>
      </c>
      <c r="E12" s="10">
        <v>92</v>
      </c>
      <c r="F12" s="10">
        <v>20</v>
      </c>
      <c r="G12" s="10">
        <f t="shared" si="0"/>
        <v>194</v>
      </c>
    </row>
    <row r="13" spans="1:7">
      <c r="A13" s="10" t="s">
        <v>158</v>
      </c>
      <c r="B13" s="10" t="s">
        <v>255</v>
      </c>
      <c r="C13" s="10" t="s">
        <v>262</v>
      </c>
      <c r="D13" s="10">
        <v>90</v>
      </c>
      <c r="E13" s="10">
        <v>84</v>
      </c>
      <c r="F13" s="10">
        <v>25</v>
      </c>
      <c r="G13" s="10">
        <f t="shared" si="0"/>
        <v>199</v>
      </c>
    </row>
    <row r="14" spans="1:7">
      <c r="A14" s="10" t="s">
        <v>158</v>
      </c>
      <c r="B14" s="10" t="s">
        <v>46</v>
      </c>
      <c r="C14" s="10" t="s">
        <v>263</v>
      </c>
      <c r="D14" s="10">
        <v>80</v>
      </c>
      <c r="E14" s="10">
        <v>72</v>
      </c>
      <c r="F14" s="10">
        <v>25</v>
      </c>
      <c r="G14" s="10">
        <f t="shared" si="0"/>
        <v>177</v>
      </c>
    </row>
    <row r="15" spans="1:7">
      <c r="A15" s="10" t="s">
        <v>158</v>
      </c>
      <c r="B15" s="10" t="s">
        <v>46</v>
      </c>
      <c r="C15" s="10" t="s">
        <v>264</v>
      </c>
      <c r="D15" s="10">
        <v>78</v>
      </c>
      <c r="E15" s="10">
        <v>85</v>
      </c>
      <c r="F15" s="10">
        <v>30</v>
      </c>
      <c r="G15" s="10">
        <f t="shared" si="0"/>
        <v>193</v>
      </c>
    </row>
    <row r="16" spans="1:7">
      <c r="A16" s="10" t="s">
        <v>158</v>
      </c>
      <c r="B16" s="10" t="s">
        <v>265</v>
      </c>
      <c r="C16" s="10" t="s">
        <v>266</v>
      </c>
      <c r="D16" s="10">
        <v>86</v>
      </c>
      <c r="E16" s="10">
        <v>70</v>
      </c>
      <c r="F16" s="10">
        <v>30</v>
      </c>
      <c r="G16" s="10">
        <f t="shared" si="0"/>
        <v>186</v>
      </c>
    </row>
    <row r="17" spans="1:7">
      <c r="A17" s="10" t="s">
        <v>158</v>
      </c>
      <c r="B17" s="10" t="s">
        <v>251</v>
      </c>
      <c r="C17" s="10" t="s">
        <v>267</v>
      </c>
      <c r="D17" s="10">
        <v>70</v>
      </c>
      <c r="E17" s="10">
        <v>78</v>
      </c>
      <c r="F17" s="10">
        <v>25</v>
      </c>
      <c r="G17" s="10">
        <f t="shared" si="0"/>
        <v>173</v>
      </c>
    </row>
    <row r="20" spans="1:7">
      <c r="A20" s="56" t="s">
        <v>33</v>
      </c>
      <c r="B20" t="s">
        <v>274</v>
      </c>
    </row>
    <row r="22" spans="1:7">
      <c r="B22" s="56" t="s">
        <v>270</v>
      </c>
    </row>
    <row r="23" spans="1:7">
      <c r="A23" s="56" t="s">
        <v>268</v>
      </c>
      <c r="B23" t="s">
        <v>277</v>
      </c>
      <c r="C23" t="s">
        <v>278</v>
      </c>
      <c r="D23" t="s">
        <v>279</v>
      </c>
      <c r="E23" t="s">
        <v>269</v>
      </c>
    </row>
    <row r="24" spans="1:7">
      <c r="A24" s="57" t="s">
        <v>43</v>
      </c>
      <c r="B24" s="58"/>
      <c r="C24" s="58"/>
      <c r="D24" s="58"/>
      <c r="E24" s="58"/>
    </row>
    <row r="25" spans="1:7">
      <c r="A25" s="59" t="s">
        <v>280</v>
      </c>
      <c r="B25" s="58">
        <v>180</v>
      </c>
      <c r="C25" s="58">
        <v>187</v>
      </c>
      <c r="D25" s="58">
        <v>199</v>
      </c>
      <c r="E25" s="58">
        <v>188.25</v>
      </c>
    </row>
    <row r="26" spans="1:7">
      <c r="A26" s="59" t="s">
        <v>281</v>
      </c>
      <c r="B26" s="58">
        <v>80</v>
      </c>
      <c r="C26" s="58">
        <v>85</v>
      </c>
      <c r="D26" s="58">
        <v>84</v>
      </c>
      <c r="E26" s="58">
        <v>85</v>
      </c>
    </row>
    <row r="27" spans="1:7">
      <c r="A27" s="57" t="s">
        <v>49</v>
      </c>
      <c r="B27" s="58"/>
      <c r="C27" s="58"/>
      <c r="D27" s="58"/>
      <c r="E27" s="58"/>
    </row>
    <row r="28" spans="1:7">
      <c r="A28" s="59" t="s">
        <v>280</v>
      </c>
      <c r="B28" s="58"/>
      <c r="C28" s="58">
        <v>180</v>
      </c>
      <c r="D28" s="58">
        <v>186</v>
      </c>
      <c r="E28" s="58">
        <v>183</v>
      </c>
    </row>
    <row r="29" spans="1:7">
      <c r="A29" s="59" t="s">
        <v>281</v>
      </c>
      <c r="B29" s="58"/>
      <c r="C29" s="58">
        <v>68</v>
      </c>
      <c r="D29" s="58">
        <v>70</v>
      </c>
      <c r="E29" s="58">
        <v>70</v>
      </c>
    </row>
    <row r="30" spans="1:7">
      <c r="A30" s="57" t="s">
        <v>275</v>
      </c>
      <c r="B30" s="58"/>
      <c r="C30" s="58"/>
      <c r="D30" s="58"/>
      <c r="E30" s="58"/>
    </row>
    <row r="31" spans="1:7">
      <c r="A31" s="59" t="s">
        <v>280</v>
      </c>
      <c r="B31" s="58">
        <v>180.5</v>
      </c>
      <c r="C31" s="58">
        <v>194</v>
      </c>
      <c r="D31" s="58">
        <v>185</v>
      </c>
      <c r="E31" s="58">
        <v>185</v>
      </c>
    </row>
    <row r="32" spans="1:7">
      <c r="A32" s="59" t="s">
        <v>281</v>
      </c>
      <c r="B32" s="58">
        <v>90</v>
      </c>
      <c r="C32" s="58">
        <v>92</v>
      </c>
      <c r="D32" s="58">
        <v>85</v>
      </c>
      <c r="E32" s="58">
        <v>92</v>
      </c>
    </row>
    <row r="33" spans="1:5">
      <c r="A33" s="57" t="s">
        <v>276</v>
      </c>
      <c r="B33" s="58"/>
      <c r="C33" s="58"/>
      <c r="D33" s="58"/>
      <c r="E33" s="58"/>
    </row>
    <row r="34" spans="1:5">
      <c r="A34" s="59" t="s">
        <v>280</v>
      </c>
      <c r="B34" s="58">
        <v>188</v>
      </c>
      <c r="C34" s="58">
        <v>154</v>
      </c>
      <c r="D34" s="58">
        <v>173</v>
      </c>
      <c r="E34" s="58">
        <v>171.66666666666666</v>
      </c>
    </row>
    <row r="35" spans="1:5">
      <c r="A35" s="59" t="s">
        <v>281</v>
      </c>
      <c r="B35" s="58">
        <v>75</v>
      </c>
      <c r="C35" s="58">
        <v>74</v>
      </c>
      <c r="D35" s="58">
        <v>78</v>
      </c>
      <c r="E35" s="58">
        <v>78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10"/>
  <sheetViews>
    <sheetView workbookViewId="0">
      <selection activeCell="H14" sqref="H14"/>
    </sheetView>
  </sheetViews>
  <sheetFormatPr defaultRowHeight="16.5"/>
  <sheetData>
    <row r="1" spans="1:8" ht="20.25">
      <c r="A1" s="54" t="s">
        <v>73</v>
      </c>
      <c r="B1" s="54"/>
      <c r="C1" s="54"/>
      <c r="D1" s="54"/>
      <c r="E1" s="54"/>
      <c r="F1" s="54"/>
    </row>
    <row r="2" spans="1:8">
      <c r="A2" s="8"/>
      <c r="B2" s="1"/>
      <c r="C2" s="14"/>
      <c r="D2" s="14"/>
      <c r="E2" s="1"/>
      <c r="F2" s="1" t="s">
        <v>74</v>
      </c>
    </row>
    <row r="3" spans="1:8">
      <c r="A3" s="60" t="s">
        <v>75</v>
      </c>
      <c r="B3" s="60" t="s">
        <v>76</v>
      </c>
      <c r="C3" s="60" t="s">
        <v>77</v>
      </c>
      <c r="D3" s="60" t="s">
        <v>78</v>
      </c>
      <c r="E3" s="60" t="s">
        <v>79</v>
      </c>
      <c r="F3" s="60" t="s">
        <v>69</v>
      </c>
    </row>
    <row r="4" spans="1:8">
      <c r="A4" s="3" t="s">
        <v>80</v>
      </c>
      <c r="B4" s="15">
        <v>69.8</v>
      </c>
      <c r="C4" s="15">
        <v>18.3</v>
      </c>
      <c r="D4" s="15">
        <v>3.6</v>
      </c>
      <c r="E4" s="15">
        <v>1.9</v>
      </c>
      <c r="F4" s="62">
        <f>SUM(B4:E4)</f>
        <v>93.6</v>
      </c>
    </row>
    <row r="5" spans="1:8">
      <c r="A5" s="3" t="s">
        <v>81</v>
      </c>
      <c r="B5" s="15">
        <v>52.2</v>
      </c>
      <c r="C5" s="15">
        <v>28.9</v>
      </c>
      <c r="D5" s="15">
        <v>8.1</v>
      </c>
      <c r="E5" s="15">
        <v>4.5</v>
      </c>
      <c r="F5" s="62">
        <f t="shared" ref="F5:F9" si="0">SUM(B5:E5)</f>
        <v>93.699999999999989</v>
      </c>
    </row>
    <row r="6" spans="1:8">
      <c r="A6" s="3" t="s">
        <v>82</v>
      </c>
      <c r="B6" s="15">
        <v>38.4</v>
      </c>
      <c r="C6" s="15">
        <v>28.1</v>
      </c>
      <c r="D6" s="15">
        <v>10.4</v>
      </c>
      <c r="E6" s="15">
        <v>8.3000000000000007</v>
      </c>
      <c r="F6" s="62">
        <f t="shared" si="0"/>
        <v>85.2</v>
      </c>
    </row>
    <row r="7" spans="1:8">
      <c r="A7" s="3" t="s">
        <v>83</v>
      </c>
      <c r="B7" s="15">
        <v>29.9</v>
      </c>
      <c r="C7" s="15">
        <v>21.7</v>
      </c>
      <c r="D7" s="15">
        <v>10.3</v>
      </c>
      <c r="E7" s="15">
        <v>8.6999999999999993</v>
      </c>
      <c r="F7" s="62">
        <f t="shared" si="0"/>
        <v>70.599999999999994</v>
      </c>
    </row>
    <row r="8" spans="1:8">
      <c r="A8" s="3" t="s">
        <v>84</v>
      </c>
      <c r="B8" s="15">
        <v>17.399999999999999</v>
      </c>
      <c r="C8" s="15">
        <v>14.6</v>
      </c>
      <c r="D8" s="15">
        <v>8.1999999999999993</v>
      </c>
      <c r="E8" s="15">
        <v>7.9</v>
      </c>
      <c r="F8" s="62">
        <f t="shared" si="0"/>
        <v>48.1</v>
      </c>
    </row>
    <row r="9" spans="1:8">
      <c r="A9" s="3" t="s">
        <v>85</v>
      </c>
      <c r="B9" s="15">
        <v>7.9</v>
      </c>
      <c r="C9" s="15">
        <v>7.6</v>
      </c>
      <c r="D9" s="15">
        <v>4.5999999999999996</v>
      </c>
      <c r="E9" s="15">
        <v>5.0999999999999996</v>
      </c>
      <c r="F9" s="62">
        <f t="shared" si="0"/>
        <v>25.200000000000003</v>
      </c>
    </row>
    <row r="10" spans="1:8">
      <c r="H10" s="61"/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서식">
                <anchor moveWithCells="1" siz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1"/>
  <sheetViews>
    <sheetView workbookViewId="0">
      <selection activeCell="G7" sqref="G7"/>
    </sheetView>
  </sheetViews>
  <sheetFormatPr defaultRowHeight="16.5"/>
  <sheetData>
    <row r="1" spans="1:7" ht="26.25">
      <c r="A1" s="55" t="s">
        <v>86</v>
      </c>
      <c r="B1" s="55"/>
      <c r="C1" s="55"/>
      <c r="D1" s="55"/>
      <c r="E1" s="55"/>
      <c r="F1" s="55"/>
      <c r="G1" s="55"/>
    </row>
    <row r="2" spans="1:7">
      <c r="A2" s="8"/>
      <c r="B2" s="8"/>
      <c r="C2" s="8"/>
      <c r="D2" s="8"/>
      <c r="E2" s="8"/>
      <c r="F2" s="8"/>
      <c r="G2" s="8"/>
    </row>
    <row r="3" spans="1:7">
      <c r="A3" s="10" t="s">
        <v>67</v>
      </c>
      <c r="B3" s="11" t="s">
        <v>87</v>
      </c>
      <c r="C3" s="11" t="s">
        <v>88</v>
      </c>
      <c r="D3" s="11" t="s">
        <v>89</v>
      </c>
      <c r="E3" s="11" t="s">
        <v>90</v>
      </c>
      <c r="F3" s="11" t="s">
        <v>91</v>
      </c>
      <c r="G3" s="11" t="s">
        <v>92</v>
      </c>
    </row>
    <row r="4" spans="1:7">
      <c r="A4" s="10" t="s">
        <v>93</v>
      </c>
      <c r="B4" s="16" t="s">
        <v>94</v>
      </c>
      <c r="C4" s="16">
        <v>1</v>
      </c>
      <c r="D4" s="17">
        <f t="shared" ref="D4:D11" si="0">100-(C4*2)</f>
        <v>98</v>
      </c>
      <c r="E4" s="18">
        <v>90</v>
      </c>
      <c r="F4" s="18">
        <v>88</v>
      </c>
      <c r="G4" s="18">
        <f t="shared" ref="G4:G11" si="1">SUM(D4:F4)/3</f>
        <v>92</v>
      </c>
    </row>
    <row r="5" spans="1:7">
      <c r="A5" s="10" t="s">
        <v>95</v>
      </c>
      <c r="B5" s="16" t="s">
        <v>94</v>
      </c>
      <c r="C5" s="16">
        <v>3</v>
      </c>
      <c r="D5" s="17">
        <f t="shared" si="0"/>
        <v>94</v>
      </c>
      <c r="E5" s="18">
        <v>100</v>
      </c>
      <c r="F5" s="18">
        <v>90</v>
      </c>
      <c r="G5" s="18">
        <f t="shared" si="1"/>
        <v>94.666666666666671</v>
      </c>
    </row>
    <row r="6" spans="1:7">
      <c r="A6" s="10" t="s">
        <v>96</v>
      </c>
      <c r="B6" s="16" t="s">
        <v>97</v>
      </c>
      <c r="C6" s="16">
        <v>2</v>
      </c>
      <c r="D6" s="17">
        <f t="shared" si="0"/>
        <v>96</v>
      </c>
      <c r="E6" s="18">
        <v>87</v>
      </c>
      <c r="F6" s="18">
        <v>95</v>
      </c>
      <c r="G6" s="18">
        <f t="shared" si="1"/>
        <v>92.666666666666671</v>
      </c>
    </row>
    <row r="7" spans="1:7">
      <c r="A7" s="10" t="s">
        <v>98</v>
      </c>
      <c r="B7" s="16" t="s">
        <v>94</v>
      </c>
      <c r="C7" s="16">
        <v>8</v>
      </c>
      <c r="D7" s="17">
        <f t="shared" si="0"/>
        <v>84</v>
      </c>
      <c r="E7" s="18">
        <v>78</v>
      </c>
      <c r="F7" s="18">
        <v>80</v>
      </c>
      <c r="G7" s="18">
        <f t="shared" si="1"/>
        <v>80.666666666666671</v>
      </c>
    </row>
    <row r="8" spans="1:7">
      <c r="A8" s="10" t="s">
        <v>99</v>
      </c>
      <c r="B8" s="16" t="s">
        <v>94</v>
      </c>
      <c r="C8" s="16">
        <v>5</v>
      </c>
      <c r="D8" s="17">
        <f t="shared" si="0"/>
        <v>90</v>
      </c>
      <c r="E8" s="18">
        <v>46</v>
      </c>
      <c r="F8" s="18">
        <v>75</v>
      </c>
      <c r="G8" s="18">
        <f t="shared" si="1"/>
        <v>70.333333333333329</v>
      </c>
    </row>
    <row r="9" spans="1:7">
      <c r="A9" s="10" t="s">
        <v>100</v>
      </c>
      <c r="B9" s="16" t="s">
        <v>97</v>
      </c>
      <c r="C9" s="16">
        <v>6</v>
      </c>
      <c r="D9" s="17">
        <f t="shared" si="0"/>
        <v>88</v>
      </c>
      <c r="E9" s="18">
        <v>66</v>
      </c>
      <c r="F9" s="18">
        <v>90</v>
      </c>
      <c r="G9" s="18">
        <f t="shared" si="1"/>
        <v>81.333333333333329</v>
      </c>
    </row>
    <row r="10" spans="1:7">
      <c r="A10" s="10" t="s">
        <v>101</v>
      </c>
      <c r="B10" s="16" t="s">
        <v>94</v>
      </c>
      <c r="C10" s="16">
        <v>4</v>
      </c>
      <c r="D10" s="17">
        <f t="shared" si="0"/>
        <v>92</v>
      </c>
      <c r="E10" s="18">
        <v>89</v>
      </c>
      <c r="F10" s="18">
        <v>88</v>
      </c>
      <c r="G10" s="18">
        <f t="shared" si="1"/>
        <v>89.666666666666671</v>
      </c>
    </row>
    <row r="11" spans="1:7">
      <c r="A11" s="10" t="s">
        <v>102</v>
      </c>
      <c r="B11" s="16" t="s">
        <v>97</v>
      </c>
      <c r="C11" s="16">
        <v>2</v>
      </c>
      <c r="D11" s="17">
        <f t="shared" si="0"/>
        <v>96</v>
      </c>
      <c r="E11" s="18">
        <v>90</v>
      </c>
      <c r="F11" s="18">
        <v>95</v>
      </c>
      <c r="G11" s="18">
        <f t="shared" si="1"/>
        <v>93.666666666666671</v>
      </c>
    </row>
  </sheetData>
  <mergeCells count="1">
    <mergeCell ref="A1:G1"/>
  </mergeCells>
  <phoneticPr fontId="1" type="noConversion"/>
  <conditionalFormatting sqref="E4:E11 G4:G11">
    <cfRule type="cellIs" dxfId="0" priority="1" stopIfTrue="1" operator="lessThan">
      <formula>1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YUHAN</cp:lastModifiedBy>
  <dcterms:created xsi:type="dcterms:W3CDTF">2020-04-06T00:11:56Z</dcterms:created>
  <dcterms:modified xsi:type="dcterms:W3CDTF">2023-12-07T07:00:46Z</dcterms:modified>
</cp:coreProperties>
</file>