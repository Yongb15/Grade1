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UHAN\Desktop\"/>
    </mc:Choice>
  </mc:AlternateContent>
  <bookViews>
    <workbookView xWindow="28680" yWindow="-120" windowWidth="21840" windowHeight="13740" tabRatio="899" activeTab="6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7" r:id="rId8"/>
  </sheets>
  <definedNames>
    <definedName name="배점">'기본작업-2'!$D$4:$D$9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9" i="5"/>
  <c r="D19" i="5"/>
  <c r="C19" i="5"/>
  <c r="E17" i="5"/>
  <c r="D17" i="5"/>
  <c r="C17" i="5"/>
  <c r="E12" i="5"/>
  <c r="D12" i="5"/>
  <c r="C12" i="5"/>
  <c r="E7" i="5"/>
  <c r="D7" i="5"/>
  <c r="C7" i="5"/>
  <c r="F20" i="5"/>
  <c r="F18" i="5"/>
  <c r="F13" i="5"/>
  <c r="F8" i="5"/>
  <c r="H30" i="4"/>
  <c r="H31" i="4"/>
  <c r="H32" i="4"/>
  <c r="H33" i="4"/>
  <c r="H34" i="4"/>
  <c r="H35" i="4"/>
  <c r="H36" i="4"/>
  <c r="H29" i="4"/>
  <c r="D37" i="4"/>
  <c r="D24" i="4"/>
  <c r="I4" i="4"/>
  <c r="I5" i="4"/>
  <c r="I6" i="4"/>
  <c r="I7" i="4"/>
  <c r="I8" i="4"/>
  <c r="I9" i="4"/>
  <c r="I3" i="4"/>
  <c r="D4" i="4"/>
  <c r="D5" i="4"/>
  <c r="D6" i="4"/>
  <c r="D7" i="4"/>
  <c r="D8" i="4"/>
  <c r="D9" i="4"/>
  <c r="D3" i="4"/>
  <c r="F11" i="5" l="1"/>
  <c r="F6" i="5"/>
  <c r="F5" i="5"/>
  <c r="F4" i="5"/>
  <c r="F16" i="5"/>
  <c r="F10" i="5"/>
  <c r="F15" i="5"/>
  <c r="F14" i="5"/>
  <c r="F9" i="5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</calcChain>
</file>

<file path=xl/sharedStrings.xml><?xml version="1.0" encoding="utf-8"?>
<sst xmlns="http://schemas.openxmlformats.org/spreadsheetml/2006/main" count="229" uniqueCount="163">
  <si>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</si>
  <si>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</si>
  <si>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</si>
  <si>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</si>
  <si>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</si>
  <si>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</si>
  <si>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</si>
  <si>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</si>
  <si>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</si>
  <si>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</si>
  <si>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</si>
  <si>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</si>
  <si>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</si>
  <si>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</si>
  <si>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</si>
  <si>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</si>
  <si>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</si>
  <si>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</si>
  <si>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</si>
  <si>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</si>
  <si>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</si>
  <si>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</si>
  <si>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</si>
  <si>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</si>
  <si>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</si>
  <si>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</si>
  <si>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</si>
  <si>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</si>
  <si>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</si>
  <si>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</si>
  <si>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</si>
  <si>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</si>
  <si>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</si>
  <si>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</si>
  <si>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</si>
  <si>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</si>
  <si>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</si>
  <si>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</si>
  <si>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</si>
  <si>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</si>
  <si>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</si>
  <si>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</si>
  <si>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</si>
  <si>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</si>
  <si>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3" type="noConversion"/>
  </si>
  <si>
    <t>[표2]</t>
    <phoneticPr fontId="3" type="noConversion"/>
  </si>
  <si>
    <t>응시지역</t>
    <phoneticPr fontId="3" type="noConversion"/>
  </si>
  <si>
    <t>성명</t>
    <phoneticPr fontId="3" type="noConversion"/>
  </si>
  <si>
    <t>응시일</t>
    <phoneticPr fontId="3" type="noConversion"/>
  </si>
  <si>
    <t>요일</t>
    <phoneticPr fontId="3" type="noConversion"/>
  </si>
  <si>
    <t>중간고사</t>
    <phoneticPr fontId="3" type="noConversion"/>
  </si>
  <si>
    <t>기말고사</t>
    <phoneticPr fontId="3" type="noConversion"/>
  </si>
  <si>
    <t>학점</t>
    <phoneticPr fontId="3" type="noConversion"/>
  </si>
  <si>
    <t>광주</t>
    <phoneticPr fontId="3" type="noConversion"/>
  </si>
  <si>
    <t>김종민</t>
    <phoneticPr fontId="3" type="noConversion"/>
  </si>
  <si>
    <t>김미정</t>
    <phoneticPr fontId="3" type="noConversion"/>
  </si>
  <si>
    <t>서울</t>
    <phoneticPr fontId="3" type="noConversion"/>
  </si>
  <si>
    <t>강원철</t>
    <phoneticPr fontId="3" type="noConversion"/>
  </si>
  <si>
    <t>서진수</t>
    <phoneticPr fontId="3" type="noConversion"/>
  </si>
  <si>
    <t>안양</t>
    <phoneticPr fontId="3" type="noConversion"/>
  </si>
  <si>
    <t>이진수</t>
    <phoneticPr fontId="3" type="noConversion"/>
  </si>
  <si>
    <t>박주영</t>
    <phoneticPr fontId="3" type="noConversion"/>
  </si>
  <si>
    <t>부산</t>
    <phoneticPr fontId="3" type="noConversion"/>
  </si>
  <si>
    <t>박정민</t>
    <phoneticPr fontId="3" type="noConversion"/>
  </si>
  <si>
    <t>원영현</t>
    <phoneticPr fontId="3" type="noConversion"/>
  </si>
  <si>
    <t>인천</t>
    <phoneticPr fontId="3" type="noConversion"/>
  </si>
  <si>
    <t>한수경</t>
    <phoneticPr fontId="3" type="noConversion"/>
  </si>
  <si>
    <t>오선영</t>
    <phoneticPr fontId="3" type="noConversion"/>
  </si>
  <si>
    <t>제주</t>
    <phoneticPr fontId="3" type="noConversion"/>
  </si>
  <si>
    <t>유미진</t>
    <phoneticPr fontId="3" type="noConversion"/>
  </si>
  <si>
    <t>최은미</t>
    <phoneticPr fontId="3" type="noConversion"/>
  </si>
  <si>
    <t>대전</t>
    <phoneticPr fontId="3" type="noConversion"/>
  </si>
  <si>
    <t>정미영</t>
    <phoneticPr fontId="3" type="noConversion"/>
  </si>
  <si>
    <t>박진희</t>
    <phoneticPr fontId="3" type="noConversion"/>
  </si>
  <si>
    <t>학점기준표</t>
    <phoneticPr fontId="3" type="noConversion"/>
  </si>
  <si>
    <t>[표3]</t>
    <phoneticPr fontId="3" type="noConversion"/>
  </si>
  <si>
    <t>평균</t>
    <phoneticPr fontId="3" type="noConversion"/>
  </si>
  <si>
    <t>학과</t>
    <phoneticPr fontId="3" type="noConversion"/>
  </si>
  <si>
    <t>생년월일</t>
    <phoneticPr fontId="3" type="noConversion"/>
  </si>
  <si>
    <t>평점</t>
    <phoneticPr fontId="3" type="noConversion"/>
  </si>
  <si>
    <t>컴퓨터학과</t>
    <phoneticPr fontId="3" type="noConversion"/>
  </si>
  <si>
    <t>유창상</t>
    <phoneticPr fontId="3" type="noConversion"/>
  </si>
  <si>
    <t>F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</si>
  <si>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</si>
  <si>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</si>
  <si>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</si>
  <si>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</si>
  <si>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경영학과</t>
    <phoneticPr fontId="3" type="noConversion"/>
  </si>
  <si>
    <t>김현수</t>
    <phoneticPr fontId="3" type="noConversion"/>
  </si>
  <si>
    <t>한경수</t>
    <phoneticPr fontId="3" type="noConversion"/>
  </si>
  <si>
    <t>정수연</t>
    <phoneticPr fontId="3" type="noConversion"/>
  </si>
  <si>
    <t>정보통신과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</si>
  <si>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</si>
  <si>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</si>
  <si>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</si>
  <si>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이민호</t>
    <phoneticPr fontId="3" type="noConversion"/>
  </si>
  <si>
    <t>조건</t>
    <phoneticPr fontId="3" type="noConversion"/>
  </si>
  <si>
    <t>경영학과 평균 평점</t>
    <phoneticPr fontId="3" type="noConversion"/>
  </si>
  <si>
    <t>[표4]</t>
    <phoneticPr fontId="3" type="noConversion"/>
  </si>
  <si>
    <t>[표5]</t>
    <phoneticPr fontId="3" type="noConversion"/>
  </si>
  <si>
    <t>학생명</t>
    <phoneticPr fontId="3" type="noConversion"/>
  </si>
  <si>
    <t>커뮤니케이션</t>
    <phoneticPr fontId="3" type="noConversion"/>
  </si>
  <si>
    <t>회계</t>
    <phoneticPr fontId="3" type="noConversion"/>
  </si>
  <si>
    <t>경영전략</t>
    <phoneticPr fontId="3" type="noConversion"/>
  </si>
  <si>
    <t>입학일자</t>
    <phoneticPr fontId="3" type="noConversion"/>
  </si>
  <si>
    <t>입학코드</t>
    <phoneticPr fontId="3" type="noConversion"/>
  </si>
  <si>
    <t>HEALTHCARE</t>
  </si>
  <si>
    <t>COMPUTER</t>
  </si>
  <si>
    <t>DESIGN</t>
  </si>
  <si>
    <t>ARTS-THERAPY</t>
  </si>
  <si>
    <t>모든 과목이 70 이상인 학생 수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</si>
  <si>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</si>
  <si>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</si>
  <si>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</si>
  <si>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</si>
  <si>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</si>
  <si>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</si>
  <si>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</si>
  <si>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</si>
  <si>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</si>
  <si>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</si>
  <si>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</si>
  <si>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</si>
  <si>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</si>
  <si>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</si>
  <si>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</si>
  <si>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</si>
  <si>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</si>
  <si>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</si>
  <si>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</si>
  <si>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</si>
  <si>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</si>
  <si>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</si>
  <si>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</si>
  <si>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소양직무인증점수</t>
    <phoneticPr fontId="3" type="noConversion"/>
  </si>
  <si>
    <t>소양인증</t>
    <phoneticPr fontId="3" type="noConversion"/>
  </si>
  <si>
    <t>직무인증</t>
    <phoneticPr fontId="3" type="noConversion"/>
  </si>
  <si>
    <t>총점</t>
    <phoneticPr fontId="3" type="noConversion"/>
  </si>
  <si>
    <t>김영우</t>
    <phoneticPr fontId="3" type="noConversion"/>
  </si>
  <si>
    <t>강주찬</t>
    <phoneticPr fontId="3" type="noConversion"/>
  </si>
  <si>
    <t>이홍주</t>
    <phoneticPr fontId="3" type="noConversion"/>
  </si>
  <si>
    <t>박상아</t>
    <phoneticPr fontId="3" type="noConversion"/>
  </si>
  <si>
    <t>정성준</t>
    <phoneticPr fontId="3" type="noConversion"/>
  </si>
  <si>
    <t>연도별 장학금 현황</t>
    <phoneticPr fontId="3" type="noConversion"/>
  </si>
  <si>
    <t>구분</t>
    <phoneticPr fontId="3" type="noConversion"/>
  </si>
  <si>
    <t>성적장학</t>
    <phoneticPr fontId="3" type="noConversion"/>
  </si>
  <si>
    <t>가계장학</t>
    <phoneticPr fontId="3" type="noConversion"/>
  </si>
  <si>
    <t>근로장학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</si>
  <si>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</si>
  <si>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</si>
  <si>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</si>
  <si>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</si>
  <si>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</si>
  <si>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</si>
  <si>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</si>
  <si>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전체 최대값</t>
  </si>
  <si>
    <t>경영정보 평균</t>
  </si>
  <si>
    <t>유아교육 평균</t>
  </si>
  <si>
    <t>정보통신 평균</t>
  </si>
  <si>
    <t>전체 평균</t>
  </si>
  <si>
    <t>경영정보 최대</t>
    <phoneticPr fontId="3" type="noConversion"/>
  </si>
  <si>
    <t>유아교육 최대</t>
    <phoneticPr fontId="3" type="noConversion"/>
  </si>
  <si>
    <t>정보통신 최대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</si>
</sst>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2" applyFont="1" applyAlignment="1"/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8" fillId="0" borderId="0" xfId="2" applyFont="1">
      <alignment vertical="center"/>
    </xf>
    <xf numFmtId="0" fontId="8" fillId="0" borderId="0" xfId="2" applyFont="1" applyAlignment="1">
      <alignment horizontal="right" vertical="center"/>
    </xf>
    <xf numFmtId="0" fontId="9" fillId="0" borderId="1" xfId="2" applyFont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14" fontId="8" fillId="0" borderId="1" xfId="2" applyNumberFormat="1" applyFont="1" applyBorder="1" applyAlignment="1">
      <alignment horizontal="center" vertical="center"/>
    </xf>
    <xf numFmtId="41" fontId="8" fillId="0" borderId="1" xfId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41" fontId="8" fillId="0" borderId="0" xfId="3" applyFont="1" applyBorder="1" applyAlignment="1">
      <alignment horizontal="center" vertical="center"/>
    </xf>
    <xf numFmtId="0" fontId="8" fillId="0" borderId="2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176" fontId="8" fillId="0" borderId="4" xfId="2" applyNumberFormat="1" applyFont="1" applyBorder="1" applyAlignment="1">
      <alignment horizontal="center" vertical="center"/>
    </xf>
    <xf numFmtId="176" fontId="8" fillId="0" borderId="5" xfId="2" applyNumberFormat="1" applyFont="1" applyBorder="1" applyAlignment="1">
      <alignment horizontal="center" vertical="center"/>
    </xf>
    <xf numFmtId="176" fontId="8" fillId="0" borderId="6" xfId="2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41" fontId="8" fillId="0" borderId="11" xfId="1" applyFont="1" applyBorder="1" applyAlignment="1">
      <alignment horizontal="center" vertical="center"/>
    </xf>
    <xf numFmtId="41" fontId="8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8" fillId="0" borderId="0" xfId="1" applyFont="1" applyBorder="1" applyAlignment="1">
      <alignment horizontal="center" vertical="center"/>
    </xf>
    <xf numFmtId="41" fontId="6" fillId="0" borderId="0" xfId="0" applyNumberFormat="1" applyFo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5" fillId="0" borderId="0" xfId="1" applyFont="1" applyBorder="1" applyAlignment="1"/>
    <xf numFmtId="41" fontId="8" fillId="0" borderId="0" xfId="1" applyFont="1">
      <alignment vertical="center"/>
    </xf>
    <xf numFmtId="41" fontId="0" fillId="0" borderId="0" xfId="1" applyFont="1">
      <alignment vertical="center"/>
    </xf>
    <xf numFmtId="41" fontId="7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1" fillId="0" borderId="0" xfId="2" applyFont="1" applyAlignment="1">
      <alignment horizontal="right" vertical="center"/>
    </xf>
    <xf numFmtId="0" fontId="12" fillId="0" borderId="1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3" fontId="11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1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1" xfId="1" applyNumberFormat="1" applyFont="1" applyBorder="1">
      <alignment vertical="center"/>
    </xf>
    <xf numFmtId="0" fontId="9" fillId="0" borderId="3" xfId="2" applyFont="1" applyBorder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4" borderId="4" xfId="4" applyBorder="1">
      <alignment vertical="center"/>
    </xf>
    <xf numFmtId="0" fontId="14" fillId="4" borderId="5" xfId="4" applyBorder="1">
      <alignment vertical="center"/>
    </xf>
    <xf numFmtId="0" fontId="14" fillId="4" borderId="6" xfId="4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3" xfId="0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13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/>
    </xf>
  </cellXfs>
  <cellStyles count="5">
    <cellStyle name="강조색5" xfId="4" builtinId="45"/>
    <cellStyle name="쉼표 [0]" xfId="1" builtinId="6"/>
    <cellStyle name="쉼표 [0] 2" xfId="3"/>
    <cellStyle name="표준" xfId="0" builtinId="0"/>
    <cellStyle name="표준 2" xfId="2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차트작업!$A$1:$B$1</c:f>
          <c:strCache>
            <c:ptCount val="2"/>
            <c:pt idx="0">
              <c:v>연도별 장학금 현황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6-43FA-B680-69777FAA62FF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6-43FA-B680-69777FAA62FF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6-43FA-B680-69777FAA6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채우기" textlink="">
      <xdr:nvSpPr>
        <xdr:cNvPr id="3" name="빗면 2"/>
        <xdr:cNvSpPr/>
      </xdr:nvSpPr>
      <xdr:spPr>
        <a:xfrm>
          <a:off x="5495925" y="1400175"/>
          <a:ext cx="1371600" cy="5715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E34158A-DEB8-4183-AD92-A90195E0B9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F1"/>
    </sheetView>
  </sheetViews>
  <sheetFormatPr defaultRowHeight="16.5"/>
  <cols>
    <col min="1" max="1" width="11" bestFit="1" customWidth="1"/>
  </cols>
  <sheetData>
    <row r="1" spans="1:1">
      <c r="A1" s="1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H16" sqref="H16"/>
    </sheetView>
  </sheetViews>
  <sheetFormatPr defaultRowHeight="16.5"/>
  <cols>
    <col min="1" max="1" width="9.625" customWidth="1"/>
    <col min="3" max="3" width="16.75" bestFit="1" customWidth="1"/>
    <col min="4" max="5" width="5.25" bestFit="1" customWidth="1"/>
  </cols>
  <sheetData>
    <row r="1" spans="1:6" ht="26.25">
      <c r="A1" s="57" t="s">
        <v>1</v>
      </c>
      <c r="B1" s="57"/>
      <c r="C1" s="57"/>
      <c r="D1" s="57"/>
      <c r="E1" s="57"/>
      <c r="F1" s="57"/>
    </row>
    <row r="2" spans="1:6" ht="17.25" thickBot="1"/>
    <row r="3" spans="1:6">
      <c r="A3" s="59" t="s">
        <v>2</v>
      </c>
      <c r="B3" s="60" t="s">
        <v>3</v>
      </c>
      <c r="C3" s="60" t="s">
        <v>4</v>
      </c>
      <c r="D3" s="60" t="s">
        <v>5</v>
      </c>
      <c r="E3" s="60" t="s">
        <v>6</v>
      </c>
      <c r="F3" s="61" t="s">
        <v>7</v>
      </c>
    </row>
    <row r="4" spans="1:6">
      <c r="A4" s="62" t="s">
        <v>8</v>
      </c>
      <c r="B4" s="58" t="s">
        <v>9</v>
      </c>
      <c r="C4" s="67" t="s">
        <v>10</v>
      </c>
      <c r="D4" s="68">
        <v>45</v>
      </c>
      <c r="E4" s="34">
        <v>2</v>
      </c>
      <c r="F4" s="63">
        <v>90</v>
      </c>
    </row>
    <row r="5" spans="1:6">
      <c r="A5" s="62"/>
      <c r="B5" s="58"/>
      <c r="C5" s="67" t="s">
        <v>11</v>
      </c>
      <c r="D5" s="34">
        <v>40</v>
      </c>
      <c r="E5" s="34">
        <v>2</v>
      </c>
      <c r="F5" s="63"/>
    </row>
    <row r="6" spans="1:6">
      <c r="A6" s="62"/>
      <c r="B6" s="58"/>
      <c r="C6" s="67" t="s">
        <v>12</v>
      </c>
      <c r="D6" s="34">
        <v>40</v>
      </c>
      <c r="E6" s="34">
        <v>2</v>
      </c>
      <c r="F6" s="63"/>
    </row>
    <row r="7" spans="1:6">
      <c r="A7" s="62" t="s">
        <v>13</v>
      </c>
      <c r="B7" s="34" t="s">
        <v>14</v>
      </c>
      <c r="C7" s="68" t="s">
        <v>15</v>
      </c>
      <c r="D7" s="34">
        <v>3</v>
      </c>
      <c r="E7" s="34">
        <v>10</v>
      </c>
      <c r="F7" s="63">
        <v>30</v>
      </c>
    </row>
    <row r="8" spans="1:6">
      <c r="A8" s="62"/>
      <c r="B8" s="34" t="s">
        <v>16</v>
      </c>
      <c r="C8" s="68" t="s">
        <v>17</v>
      </c>
      <c r="D8" s="34">
        <v>10</v>
      </c>
      <c r="E8" s="34">
        <v>5</v>
      </c>
      <c r="F8" s="63"/>
    </row>
    <row r="9" spans="1:6" ht="17.25" thickBot="1">
      <c r="A9" s="64"/>
      <c r="B9" s="65" t="s">
        <v>18</v>
      </c>
      <c r="C9" s="69" t="s">
        <v>19</v>
      </c>
      <c r="D9" s="65">
        <v>2</v>
      </c>
      <c r="E9" s="65">
        <v>35</v>
      </c>
      <c r="F9" s="66"/>
    </row>
  </sheetData>
  <mergeCells count="6">
    <mergeCell ref="A1:F1"/>
    <mergeCell ref="F7:F9"/>
    <mergeCell ref="F4:F6"/>
    <mergeCell ref="B4:B6"/>
    <mergeCell ref="A7:A9"/>
    <mergeCell ref="A4:A6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"/>
  <sheetViews>
    <sheetView workbookViewId="0">
      <selection activeCell="A4" sqref="A4:H18"/>
    </sheetView>
  </sheetViews>
  <sheetFormatPr defaultRowHeight="16.5"/>
  <cols>
    <col min="1" max="1" width="14.625" customWidth="1"/>
  </cols>
  <sheetData>
    <row r="1" spans="1:8" ht="26.25">
      <c r="A1" s="3" t="s">
        <v>20</v>
      </c>
      <c r="B1" s="3"/>
      <c r="C1" s="3"/>
      <c r="D1" s="3"/>
      <c r="E1" s="3"/>
      <c r="F1" s="3"/>
      <c r="G1" s="3"/>
      <c r="H1" s="3"/>
    </row>
    <row r="2" spans="1:8">
      <c r="A2" s="4"/>
      <c r="B2" s="4"/>
      <c r="C2" s="4"/>
      <c r="D2" s="5"/>
      <c r="E2" s="2"/>
    </row>
    <row r="3" spans="1:8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3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topLeftCell="A16" workbookViewId="0">
      <selection activeCell="I32" sqref="I32"/>
    </sheetView>
  </sheetViews>
  <sheetFormatPr defaultRowHeight="16.5"/>
  <cols>
    <col min="1" max="1" width="11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1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>
      <c r="A3" s="13" t="s">
        <v>53</v>
      </c>
      <c r="B3" s="13" t="s">
        <v>54</v>
      </c>
      <c r="C3" s="14">
        <v>44901</v>
      </c>
      <c r="D3" s="13" t="str">
        <f>IF(WEEKDAY(C3,2)&gt;5,"주말","평일")</f>
        <v>평일</v>
      </c>
      <c r="E3" s="9"/>
      <c r="F3" s="13" t="s">
        <v>55</v>
      </c>
      <c r="G3" s="15">
        <v>85</v>
      </c>
      <c r="H3" s="15">
        <v>90</v>
      </c>
      <c r="I3" s="13" t="str">
        <f>HLOOKUP(AVERAGE(G3,H3),$G$12:$K$14,3,TRUE)</f>
        <v>B</v>
      </c>
    </row>
    <row r="4" spans="1:11">
      <c r="A4" s="13" t="s">
        <v>56</v>
      </c>
      <c r="B4" s="13" t="s">
        <v>57</v>
      </c>
      <c r="C4" s="14">
        <v>45060</v>
      </c>
      <c r="D4" s="13" t="str">
        <f t="shared" ref="D4:D9" si="0">IF(WEEKDAY(C4,2)&gt;5,"주말","평일")</f>
        <v>주말</v>
      </c>
      <c r="E4" s="9"/>
      <c r="F4" s="13" t="s">
        <v>58</v>
      </c>
      <c r="G4" s="15">
        <v>65</v>
      </c>
      <c r="H4" s="15">
        <v>70</v>
      </c>
      <c r="I4" s="13" t="str">
        <f t="shared" ref="I4:I9" si="1">HLOOKUP(AVERAGE(G4,H4),$G$12:$K$14,3,TRUE)</f>
        <v>D</v>
      </c>
    </row>
    <row r="5" spans="1:11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13" t="str">
        <f t="shared" si="1"/>
        <v>B</v>
      </c>
    </row>
    <row r="6" spans="1:11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13" t="str">
        <f t="shared" si="1"/>
        <v>B</v>
      </c>
    </row>
    <row r="7" spans="1:11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13" t="str">
        <f t="shared" si="1"/>
        <v>D</v>
      </c>
    </row>
    <row r="8" spans="1:11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13" t="str">
        <f t="shared" si="1"/>
        <v>A</v>
      </c>
    </row>
    <row r="9" spans="1:11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13" t="str">
        <f t="shared" si="1"/>
        <v>C</v>
      </c>
    </row>
    <row r="10" spans="1:11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>
      <c r="A12" s="9" t="s">
        <v>75</v>
      </c>
      <c r="B12" s="9"/>
      <c r="C12" s="9"/>
      <c r="D12" s="9"/>
      <c r="E12" s="9"/>
      <c r="F12" s="52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53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>
      <c r="E22" s="9"/>
    </row>
    <row r="23" spans="1:9">
      <c r="A23" s="16" t="s">
        <v>96</v>
      </c>
      <c r="E23" s="16"/>
    </row>
    <row r="24" spans="1:9">
      <c r="A24" s="11" t="s">
        <v>77</v>
      </c>
      <c r="B24" s="54" t="s">
        <v>97</v>
      </c>
      <c r="C24" s="55"/>
      <c r="D24" s="13">
        <f>ROUND(DAVERAGE(A13:D21,D13,A24:A25),2)</f>
        <v>3.74</v>
      </c>
      <c r="E24" s="31"/>
    </row>
    <row r="25" spans="1:9">
      <c r="A25" s="13" t="s">
        <v>87</v>
      </c>
      <c r="B25" s="4"/>
      <c r="C25" s="4"/>
      <c r="D25" s="4"/>
      <c r="E25" s="4"/>
      <c r="F25" s="32"/>
    </row>
    <row r="26" spans="1:9">
      <c r="A26" s="4"/>
      <c r="B26" s="4"/>
      <c r="C26" s="4"/>
      <c r="D26" s="4"/>
      <c r="E26" s="4"/>
      <c r="F26" s="4"/>
    </row>
    <row r="27" spans="1:9">
      <c r="A27" s="9" t="s">
        <v>98</v>
      </c>
      <c r="B27" s="9"/>
      <c r="C27" s="9"/>
      <c r="D27" s="10"/>
      <c r="E27" s="9"/>
      <c r="F27" s="9" t="s">
        <v>99</v>
      </c>
    </row>
    <row r="28" spans="1:9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PROPER(LEFT(F29,3)&amp;YEAR(G29))</f>
        <v>Hea2021</v>
      </c>
    </row>
    <row r="30" spans="1:9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PROPER(LEFT(F30,3)&amp;YEAR(G30))</f>
        <v>Hea2023</v>
      </c>
    </row>
    <row r="31" spans="1:9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>
      <c r="A37" s="54" t="s">
        <v>110</v>
      </c>
      <c r="B37" s="56"/>
      <c r="C37" s="55"/>
      <c r="D37" s="34">
        <f>COUNTIFS(B29:B35,"&gt;=70",C29:C35,"&gt;=70",D29:D35,"&gt;=70")</f>
        <v>3</v>
      </c>
    </row>
    <row r="39" spans="1:12">
      <c r="G39" s="16"/>
    </row>
    <row r="44" spans="1:12">
      <c r="H44" s="9"/>
    </row>
    <row r="45" spans="1:12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1"/>
  <sheetViews>
    <sheetView topLeftCell="A7" workbookViewId="0">
      <selection activeCell="C21" sqref="C21"/>
    </sheetView>
  </sheetViews>
  <sheetFormatPr defaultRowHeight="16.5" outlineLevelRow="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>
      <c r="A1" s="35" t="s">
        <v>111</v>
      </c>
      <c r="B1" s="35"/>
      <c r="C1" s="35"/>
      <c r="D1" s="35"/>
      <c r="E1" s="35"/>
      <c r="F1" s="35"/>
    </row>
    <row r="2" spans="1:6">
      <c r="A2" s="4"/>
      <c r="B2" s="4"/>
      <c r="C2" s="4"/>
      <c r="D2" s="4"/>
      <c r="E2" s="4"/>
    </row>
    <row r="3" spans="1:6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>
      <c r="A7" s="70" t="s">
        <v>156</v>
      </c>
      <c r="B7" s="7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>
      <c r="A8" s="70" t="s">
        <v>160</v>
      </c>
      <c r="B8" s="7"/>
      <c r="C8" s="8"/>
      <c r="D8" s="8"/>
      <c r="E8" s="8"/>
      <c r="F8" s="8">
        <f>SUBTOTAL(4,F4:F6)</f>
        <v>245</v>
      </c>
    </row>
    <row r="9" spans="1:6" outlineLevel="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>
      <c r="A12" s="70" t="s">
        <v>157</v>
      </c>
      <c r="B12" s="7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>
      <c r="A13" s="70" t="s">
        <v>161</v>
      </c>
      <c r="B13" s="7"/>
      <c r="C13" s="8"/>
      <c r="D13" s="8"/>
      <c r="E13" s="8"/>
      <c r="F13" s="8">
        <f>SUBTOTAL(4,F9:F11)</f>
        <v>270</v>
      </c>
    </row>
    <row r="14" spans="1:6" outlineLevel="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>
      <c r="A17" s="73" t="s">
        <v>158</v>
      </c>
      <c r="B17" s="71"/>
      <c r="C17" s="72">
        <f>SUBTOTAL(1,C14:C16)</f>
        <v>90</v>
      </c>
      <c r="D17" s="72">
        <f>SUBTOTAL(1,D14:D16)</f>
        <v>68.333333333333329</v>
      </c>
      <c r="E17" s="72">
        <f>SUBTOTAL(1,E14:E16)</f>
        <v>78.333333333333329</v>
      </c>
      <c r="F17" s="72"/>
    </row>
    <row r="18" spans="1:6" outlineLevel="1">
      <c r="A18" s="73" t="s">
        <v>162</v>
      </c>
      <c r="B18" s="71"/>
      <c r="C18" s="72"/>
      <c r="D18" s="72"/>
      <c r="E18" s="72"/>
      <c r="F18" s="72">
        <f>SUBTOTAL(4,F14:F16)</f>
        <v>265</v>
      </c>
    </row>
    <row r="19" spans="1:6">
      <c r="A19" s="73" t="s">
        <v>159</v>
      </c>
      <c r="B19" s="71"/>
      <c r="C19" s="72">
        <f>SUBTOTAL(1,C4:C16)</f>
        <v>89.444444444444443</v>
      </c>
      <c r="D19" s="72">
        <f>SUBTOTAL(1,D4:D16)</f>
        <v>73.333333333333329</v>
      </c>
      <c r="E19" s="72">
        <f>SUBTOTAL(1,E4:E16)</f>
        <v>78.333333333333329</v>
      </c>
      <c r="F19" s="72"/>
    </row>
    <row r="20" spans="1:6">
      <c r="A20" s="73" t="s">
        <v>155</v>
      </c>
      <c r="B20" s="71"/>
      <c r="C20" s="72"/>
      <c r="D20" s="72"/>
      <c r="E20" s="72"/>
      <c r="F20" s="72">
        <f>SUBTOTAL(4,F4:F16)</f>
        <v>270</v>
      </c>
    </row>
    <row r="21" spans="1:6">
      <c r="A21" s="4"/>
      <c r="B21" s="4"/>
      <c r="C21" s="4"/>
      <c r="D21" s="4"/>
      <c r="E21" s="4"/>
    </row>
  </sheetData>
  <sortState ref="A4:F12">
    <sortCondition ref="A4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2"/>
  <sheetViews>
    <sheetView workbookViewId="0">
      <selection activeCell="H14" sqref="H14"/>
    </sheetView>
  </sheetViews>
  <sheetFormatPr defaultRowHeight="16.5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>
      <c r="A2" s="9"/>
      <c r="B2" s="38"/>
      <c r="C2" s="38"/>
      <c r="D2" s="38"/>
      <c r="E2" s="9"/>
      <c r="F2" s="10"/>
    </row>
    <row r="3" spans="1:9">
      <c r="A3" t="s">
        <v>148</v>
      </c>
      <c r="F3" t="s">
        <v>126</v>
      </c>
    </row>
    <row r="4" spans="1:9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51">
        <v>31520</v>
      </c>
      <c r="H5" s="51">
        <v>21860</v>
      </c>
      <c r="I5" s="51">
        <v>36200</v>
      </c>
    </row>
    <row r="6" spans="1:9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51">
        <v>25320</v>
      </c>
      <c r="H6" s="51">
        <v>26200</v>
      </c>
      <c r="I6" s="51">
        <v>24000</v>
      </c>
    </row>
    <row r="7" spans="1:9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51">
        <v>22500</v>
      </c>
      <c r="H7" s="51">
        <v>32040</v>
      </c>
      <c r="I7" s="51">
        <v>25600</v>
      </c>
    </row>
    <row r="8" spans="1:9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51">
        <v>13440</v>
      </c>
      <c r="H8" s="51">
        <v>26520</v>
      </c>
      <c r="I8" s="51">
        <v>34100</v>
      </c>
    </row>
    <row r="10" spans="1:9">
      <c r="A10" t="s">
        <v>149</v>
      </c>
    </row>
    <row r="11" spans="1:9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>
      <c r="A12" s="34" t="s">
        <v>130</v>
      </c>
      <c r="B12" s="41">
        <v>11360</v>
      </c>
      <c r="C12" s="41">
        <v>5780</v>
      </c>
      <c r="D12" s="41">
        <v>17940</v>
      </c>
    </row>
    <row r="13" spans="1:9">
      <c r="A13" s="34" t="s">
        <v>132</v>
      </c>
      <c r="B13" s="41">
        <v>9560</v>
      </c>
      <c r="C13" s="41">
        <v>13960</v>
      </c>
      <c r="D13" s="41">
        <v>11560</v>
      </c>
    </row>
    <row r="14" spans="1:9">
      <c r="A14" s="34" t="s">
        <v>133</v>
      </c>
      <c r="B14" s="41">
        <v>3960</v>
      </c>
      <c r="C14" s="41">
        <v>9140</v>
      </c>
      <c r="D14" s="41">
        <v>19700</v>
      </c>
    </row>
    <row r="15" spans="1:9">
      <c r="A15" s="34" t="s">
        <v>131</v>
      </c>
      <c r="B15" s="41">
        <v>3740</v>
      </c>
      <c r="C15" s="41">
        <v>3300</v>
      </c>
      <c r="D15" s="41">
        <v>2840</v>
      </c>
    </row>
    <row r="17" spans="1:4">
      <c r="A17" t="s">
        <v>150</v>
      </c>
    </row>
    <row r="18" spans="1:4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>
      <c r="A19" s="34" t="s">
        <v>130</v>
      </c>
      <c r="B19" s="41">
        <v>9360</v>
      </c>
      <c r="C19" s="41">
        <v>7080</v>
      </c>
      <c r="D19" s="41">
        <v>9120</v>
      </c>
    </row>
    <row r="20" spans="1:4">
      <c r="A20" s="34" t="s">
        <v>133</v>
      </c>
      <c r="B20" s="41">
        <v>5700</v>
      </c>
      <c r="C20" s="41">
        <v>13700</v>
      </c>
      <c r="D20" s="41">
        <v>11560</v>
      </c>
    </row>
    <row r="21" spans="1:4">
      <c r="A21" s="34" t="s">
        <v>132</v>
      </c>
      <c r="B21" s="41">
        <v>6700</v>
      </c>
      <c r="C21" s="41">
        <v>3080</v>
      </c>
      <c r="D21" s="41">
        <v>3300</v>
      </c>
    </row>
    <row r="22" spans="1:4">
      <c r="A22" s="34" t="s">
        <v>131</v>
      </c>
      <c r="B22" s="41">
        <v>9560</v>
      </c>
      <c r="C22" s="41">
        <v>14960</v>
      </c>
      <c r="D22" s="41">
        <v>9680</v>
      </c>
    </row>
  </sheetData>
  <dataConsolidate leftLabels="1" topLabels="1">
    <dataRefs count="3">
      <dataRef ref="A4:D8" sheet="분석작업-2"/>
      <dataRef ref="A11:D15" sheet="분석작업-2"/>
      <dataRef ref="A18:D22" sheet="분석작업-2"/>
    </dataRefs>
  </dataConsolidate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1"/>
  <sheetViews>
    <sheetView tabSelected="1" workbookViewId="0">
      <selection activeCell="K7" sqref="K7"/>
    </sheetView>
  </sheetViews>
  <sheetFormatPr defaultRowHeight="16.5"/>
  <cols>
    <col min="1" max="5" width="12.625" customWidth="1"/>
  </cols>
  <sheetData>
    <row r="1" spans="1:5" ht="26.25">
      <c r="A1" s="3" t="s">
        <v>134</v>
      </c>
      <c r="B1" s="3"/>
      <c r="C1" s="3"/>
      <c r="D1" s="3"/>
      <c r="E1" s="3"/>
    </row>
    <row r="2" spans="1:5">
      <c r="A2" s="4"/>
      <c r="B2" s="4"/>
      <c r="C2" s="4"/>
      <c r="D2" s="5"/>
    </row>
    <row r="3" spans="1:5" ht="22.9" customHeight="1">
      <c r="A3" s="74" t="s">
        <v>77</v>
      </c>
      <c r="B3" s="74" t="s">
        <v>47</v>
      </c>
      <c r="C3" s="74" t="s">
        <v>135</v>
      </c>
      <c r="D3" s="74" t="s">
        <v>136</v>
      </c>
      <c r="E3" s="74" t="s">
        <v>137</v>
      </c>
    </row>
    <row r="4" spans="1:5" ht="22.9" customHeight="1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/>
    <row r="10" spans="1:5" ht="22.9" customHeight="1"/>
    <row r="11" spans="1:5" ht="22.9" customHeight="1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총점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11" sqref="G11"/>
    </sheetView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42" t="s">
        <v>143</v>
      </c>
      <c r="B1" s="42"/>
      <c r="C1" s="42"/>
      <c r="D1" s="42"/>
      <c r="E1" s="42"/>
    </row>
    <row r="2" spans="1:11">
      <c r="A2" s="43"/>
      <c r="B2" s="43"/>
      <c r="C2" s="43"/>
      <c r="D2" s="44"/>
    </row>
    <row r="3" spans="1:11">
      <c r="A3" s="45" t="s">
        <v>144</v>
      </c>
      <c r="B3" s="45" t="s">
        <v>151</v>
      </c>
      <c r="C3" s="45" t="s">
        <v>152</v>
      </c>
      <c r="D3" s="45" t="s">
        <v>153</v>
      </c>
      <c r="E3" s="45" t="s">
        <v>154</v>
      </c>
    </row>
    <row r="4" spans="1:11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>
      <c r="I12" s="49"/>
      <c r="J12" s="50"/>
      <c r="K12" s="50"/>
    </row>
    <row r="13" spans="1:11">
      <c r="I13" s="49"/>
      <c r="J13" s="50"/>
      <c r="K13" s="50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YUHAN</cp:lastModifiedBy>
  <dcterms:created xsi:type="dcterms:W3CDTF">2023-03-19T01:30:18Z</dcterms:created>
  <dcterms:modified xsi:type="dcterms:W3CDTF">2023-11-23T06:59:16Z</dcterms:modified>
</cp:coreProperties>
</file>