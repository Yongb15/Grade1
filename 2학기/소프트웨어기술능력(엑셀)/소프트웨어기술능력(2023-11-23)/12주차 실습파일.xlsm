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trlProps/ctrlProp1.xml" ContentType="application/vnd.ms-excel.controlproperties+xml"/>
  <Override PartName="/xl/drawings/drawing7.xml" ContentType="application/vnd.openxmlformats-officedocument.drawing+xml"/>
  <Override PartName="/xl/ctrlProps/ctrlProp2.xml" ContentType="application/vnd.ms-excel.controlproperties+xml"/>
  <Override PartName="/xl/drawings/drawing8.xml" ContentType="application/vnd.openxmlformats-officedocument.drawing+xml"/>
  <Override PartName="/xl/ctrlProps/ctrlProp3.xml" ContentType="application/vnd.ms-excel.controlproperties+xml"/>
  <Override PartName="/xl/drawings/drawing9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YUHAN\Downloads\"/>
    </mc:Choice>
  </mc:AlternateContent>
  <bookViews>
    <workbookView xWindow="3510" yWindow="3510" windowWidth="23325" windowHeight="15510" activeTab="7"/>
  </bookViews>
  <sheets>
    <sheet name="인구" sheetId="5" r:id="rId1"/>
    <sheet name="차트1" sheetId="6" r:id="rId2"/>
    <sheet name="차트1(결과)" sheetId="7" r:id="rId3"/>
    <sheet name="차트2" sheetId="8" r:id="rId4"/>
    <sheet name="차트2(결과)" sheetId="9" r:id="rId5"/>
    <sheet name="매크로1" sheetId="1" r:id="rId6"/>
    <sheet name="매크로1(결과)" sheetId="2" r:id="rId7"/>
    <sheet name="매크로2" sheetId="3" r:id="rId8"/>
    <sheet name="매크로2(결과)" sheetId="4" r:id="rId9"/>
  </sheets>
  <externalReferences>
    <externalReference r:id="rId10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3" l="1"/>
  <c r="F6" i="3"/>
  <c r="F7" i="3"/>
  <c r="F8" i="3"/>
  <c r="F9" i="3"/>
  <c r="F10" i="3"/>
  <c r="F11" i="3"/>
  <c r="F4" i="3"/>
  <c r="E5" i="1"/>
  <c r="E6" i="1"/>
  <c r="E7" i="1"/>
  <c r="E8" i="1"/>
  <c r="E4" i="1"/>
  <c r="D11" i="4" l="1"/>
  <c r="E10" i="4"/>
  <c r="F10" i="4" s="1"/>
  <c r="D10" i="4"/>
  <c r="D9" i="4"/>
  <c r="D8" i="4"/>
  <c r="F7" i="4"/>
  <c r="E7" i="4"/>
  <c r="D7" i="4"/>
  <c r="D6" i="4"/>
  <c r="E6" i="4" s="1"/>
  <c r="F6" i="4" s="1"/>
  <c r="D5" i="4"/>
  <c r="E5" i="4" s="1"/>
  <c r="D4" i="4"/>
  <c r="E4" i="4" s="1"/>
  <c r="F4" i="4" s="1"/>
  <c r="E11" i="3"/>
  <c r="D11" i="3"/>
  <c r="D10" i="3"/>
  <c r="E10" i="3" s="1"/>
  <c r="D9" i="3"/>
  <c r="E9" i="3" s="1"/>
  <c r="D8" i="3"/>
  <c r="E8" i="3" s="1"/>
  <c r="D7" i="3"/>
  <c r="E7" i="3" s="1"/>
  <c r="E6" i="3"/>
  <c r="D6" i="3"/>
  <c r="E5" i="3"/>
  <c r="D5" i="3"/>
  <c r="D4" i="3"/>
  <c r="E4" i="3" s="1"/>
  <c r="E8" i="2"/>
  <c r="E7" i="2"/>
  <c r="E6" i="2"/>
  <c r="E5" i="2"/>
  <c r="E4" i="2"/>
  <c r="E8" i="4" l="1"/>
  <c r="F8" i="4" s="1"/>
  <c r="E9" i="4"/>
  <c r="F9" i="4" s="1"/>
  <c r="F5" i="4"/>
  <c r="E11" i="4"/>
  <c r="F11" i="4" s="1"/>
</calcChain>
</file>

<file path=xl/sharedStrings.xml><?xml version="1.0" encoding="utf-8"?>
<sst xmlns="http://schemas.openxmlformats.org/spreadsheetml/2006/main" count="111" uniqueCount="58">
  <si>
    <t>소양직무인증점수</t>
    <phoneticPr fontId="4" type="noConversion"/>
  </si>
  <si>
    <t>학과</t>
    <phoneticPr fontId="4" type="noConversion"/>
  </si>
  <si>
    <t>성명</t>
    <phoneticPr fontId="4" type="noConversion"/>
  </si>
  <si>
    <t>소양인증</t>
    <phoneticPr fontId="4" type="noConversion"/>
  </si>
  <si>
    <t>직무인증</t>
    <phoneticPr fontId="4" type="noConversion"/>
  </si>
  <si>
    <t>총점</t>
    <phoneticPr fontId="4" type="noConversion"/>
  </si>
  <si>
    <t>컴퓨터정보과</t>
    <phoneticPr fontId="4" type="noConversion"/>
  </si>
  <si>
    <t>김영우</t>
    <phoneticPr fontId="4" type="noConversion"/>
  </si>
  <si>
    <t>컴퓨터게임과</t>
    <phoneticPr fontId="4" type="noConversion"/>
  </si>
  <si>
    <t>강주찬</t>
    <phoneticPr fontId="4" type="noConversion"/>
  </si>
  <si>
    <t>특수교육과</t>
    <phoneticPr fontId="4" type="noConversion"/>
  </si>
  <si>
    <t>이홍주</t>
    <phoneticPr fontId="4" type="noConversion"/>
  </si>
  <si>
    <t>유아교육과</t>
    <phoneticPr fontId="4" type="noConversion"/>
  </si>
  <si>
    <t>박상아</t>
    <phoneticPr fontId="4" type="noConversion"/>
  </si>
  <si>
    <t>정보통신과</t>
    <phoneticPr fontId="4" type="noConversion"/>
  </si>
  <si>
    <t>정성준</t>
    <phoneticPr fontId="4" type="noConversion"/>
  </si>
  <si>
    <t>가전 제품 판매 현황</t>
    <phoneticPr fontId="7" type="noConversion"/>
  </si>
  <si>
    <t>제품명</t>
  </si>
  <si>
    <t>판매단가</t>
    <phoneticPr fontId="7" type="noConversion"/>
  </si>
  <si>
    <t>판매수량</t>
    <phoneticPr fontId="7" type="noConversion"/>
  </si>
  <si>
    <t>판매금액</t>
    <phoneticPr fontId="7" type="noConversion"/>
  </si>
  <si>
    <t>매입금액</t>
    <phoneticPr fontId="7" type="noConversion"/>
  </si>
  <si>
    <t>이익금액</t>
    <phoneticPr fontId="7" type="noConversion"/>
  </si>
  <si>
    <t>건조기</t>
    <phoneticPr fontId="7" type="noConversion"/>
  </si>
  <si>
    <t>공기청정기</t>
    <phoneticPr fontId="7" type="noConversion"/>
  </si>
  <si>
    <t>김치냉장고</t>
    <phoneticPr fontId="7" type="noConversion"/>
  </si>
  <si>
    <t>노트북</t>
    <phoneticPr fontId="7" type="noConversion"/>
  </si>
  <si>
    <t>냉장고</t>
    <phoneticPr fontId="7" type="noConversion"/>
  </si>
  <si>
    <t>TV</t>
    <phoneticPr fontId="7" type="noConversion"/>
  </si>
  <si>
    <t>세탁기</t>
    <phoneticPr fontId="7" type="noConversion"/>
  </si>
  <si>
    <t>에어컨</t>
    <phoneticPr fontId="7" type="noConversion"/>
  </si>
  <si>
    <t>2010년</t>
    <phoneticPr fontId="4" type="noConversion"/>
  </si>
  <si>
    <t>2017년</t>
    <phoneticPr fontId="4" type="noConversion"/>
  </si>
  <si>
    <t>2020년</t>
    <phoneticPr fontId="4" type="noConversion"/>
  </si>
  <si>
    <t>2030년</t>
    <phoneticPr fontId="4" type="noConversion"/>
  </si>
  <si>
    <t>2040년</t>
    <phoneticPr fontId="4" type="noConversion"/>
  </si>
  <si>
    <t>남자</t>
  </si>
  <si>
    <t>여자</t>
  </si>
  <si>
    <t>총인구</t>
  </si>
  <si>
    <t>정보통신서비스별 세부인력</t>
    <phoneticPr fontId="4" type="noConversion"/>
  </si>
  <si>
    <t>서비스</t>
    <phoneticPr fontId="4" type="noConversion"/>
  </si>
  <si>
    <t>2018년</t>
    <phoneticPr fontId="4" type="noConversion"/>
  </si>
  <si>
    <t>2019년</t>
    <phoneticPr fontId="4" type="noConversion"/>
  </si>
  <si>
    <t>2021년</t>
    <phoneticPr fontId="4" type="noConversion"/>
  </si>
  <si>
    <t>기간통신서비스</t>
    <phoneticPr fontId="4" type="noConversion"/>
  </si>
  <si>
    <t>별정통신서비스</t>
  </si>
  <si>
    <t>부가통신서비스</t>
  </si>
  <si>
    <t>방송서비스</t>
  </si>
  <si>
    <t>학년별 장학금 현황</t>
    <phoneticPr fontId="4" type="noConversion"/>
  </si>
  <si>
    <t>구분</t>
    <phoneticPr fontId="4" type="noConversion"/>
  </si>
  <si>
    <t>1학년</t>
    <phoneticPr fontId="4" type="noConversion"/>
  </si>
  <si>
    <t>2학년</t>
    <phoneticPr fontId="4" type="noConversion"/>
  </si>
  <si>
    <t>3학년</t>
    <phoneticPr fontId="4" type="noConversion"/>
  </si>
  <si>
    <t>성적장학</t>
    <phoneticPr fontId="4" type="noConversion"/>
  </si>
  <si>
    <t>가계장학</t>
    <phoneticPr fontId="4" type="noConversion"/>
  </si>
  <si>
    <t>근로장학</t>
    <phoneticPr fontId="4" type="noConversion"/>
  </si>
  <si>
    <t>합계</t>
    <phoneticPr fontId="4" type="noConversion"/>
  </si>
  <si>
    <t>남녀별 인구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</si>
</sst>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0_);[Red]\(0\)"/>
    <numFmt numFmtId="177" formatCode="#,##0_ "/>
  </numFmts>
  <fonts count="14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6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5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5" fillId="0" borderId="1" xfId="0" applyFont="1" applyBorder="1" applyAlignment="1">
      <alignment horizontal="center"/>
    </xf>
    <xf numFmtId="41" fontId="5" fillId="0" borderId="1" xfId="3" applyFont="1" applyBorder="1" applyAlignment="1">
      <alignment horizontal="center"/>
    </xf>
    <xf numFmtId="0" fontId="5" fillId="0" borderId="1" xfId="3" applyNumberFormat="1" applyFont="1" applyBorder="1" applyAlignment="1">
      <alignment horizontal="center"/>
    </xf>
    <xf numFmtId="0" fontId="1" fillId="2" borderId="1" xfId="1" applyBorder="1" applyAlignment="1">
      <alignment horizontal="center"/>
    </xf>
    <xf numFmtId="0" fontId="9" fillId="0" borderId="3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/>
    </xf>
    <xf numFmtId="3" fontId="5" fillId="0" borderId="3" xfId="0" applyNumberFormat="1" applyFont="1" applyBorder="1" applyAlignment="1">
      <alignment vertical="center" wrapText="1"/>
    </xf>
    <xf numFmtId="0" fontId="10" fillId="0" borderId="0" xfId="2" applyFont="1" applyAlignment="1">
      <alignment horizontal="left" vertical="center"/>
    </xf>
    <xf numFmtId="0" fontId="10" fillId="0" borderId="0" xfId="2" applyFont="1" applyAlignment="1">
      <alignment horizontal="center" vertical="center"/>
    </xf>
    <xf numFmtId="49" fontId="11" fillId="0" borderId="4" xfId="2" applyNumberFormat="1" applyFont="1" applyBorder="1" applyAlignment="1">
      <alignment horizontal="center" vertical="center"/>
    </xf>
    <xf numFmtId="0" fontId="11" fillId="0" borderId="5" xfId="2" applyFont="1" applyBorder="1" applyAlignment="1">
      <alignment horizontal="center" vertical="center"/>
    </xf>
    <xf numFmtId="0" fontId="10" fillId="0" borderId="5" xfId="2" applyFont="1" applyBorder="1" applyAlignment="1">
      <alignment horizontal="center" vertical="center"/>
    </xf>
    <xf numFmtId="177" fontId="10" fillId="0" borderId="5" xfId="2" applyNumberFormat="1" applyFont="1" applyBorder="1">
      <alignment vertical="center"/>
    </xf>
    <xf numFmtId="0" fontId="13" fillId="0" borderId="0" xfId="2" applyFont="1">
      <alignment vertical="center"/>
    </xf>
    <xf numFmtId="0" fontId="13" fillId="0" borderId="0" xfId="2" applyFont="1" applyAlignment="1">
      <alignment horizontal="right" vertical="center"/>
    </xf>
    <xf numFmtId="0" fontId="13" fillId="0" borderId="1" xfId="2" applyFont="1" applyBorder="1" applyAlignment="1">
      <alignment horizontal="center" vertical="center"/>
    </xf>
    <xf numFmtId="3" fontId="13" fillId="0" borderId="1" xfId="4" applyNumberFormat="1" applyFon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5">
    <cellStyle name="강조색1" xfId="1" builtinId="29"/>
    <cellStyle name="쉼표 [0] 2" xfId="3"/>
    <cellStyle name="쉼표 [0] 3" xfId="4"/>
    <cellStyle name="표준" xfId="0" builtinId="0"/>
    <cellStyle name="표준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인구!$A$1</c:f>
          <c:strCache>
            <c:ptCount val="1"/>
            <c:pt idx="0">
              <c:v>남녀별 인구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인구!$A$3</c:f>
              <c:strCache>
                <c:ptCount val="1"/>
                <c:pt idx="0">
                  <c:v>남자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인구!$B$2:$F$2</c:f>
              <c:strCache>
                <c:ptCount val="5"/>
                <c:pt idx="0">
                  <c:v>2010년</c:v>
                </c:pt>
                <c:pt idx="1">
                  <c:v>2017년</c:v>
                </c:pt>
                <c:pt idx="2">
                  <c:v>2020년</c:v>
                </c:pt>
                <c:pt idx="3">
                  <c:v>2030년</c:v>
                </c:pt>
                <c:pt idx="4">
                  <c:v>2040년</c:v>
                </c:pt>
              </c:strCache>
            </c:strRef>
          </c:cat>
          <c:val>
            <c:numRef>
              <c:f>인구!$B$3:$F$3</c:f>
              <c:numCache>
                <c:formatCode>#,##0</c:formatCode>
                <c:ptCount val="5"/>
                <c:pt idx="0">
                  <c:v>24881</c:v>
                </c:pt>
                <c:pt idx="1">
                  <c:v>25790</c:v>
                </c:pt>
                <c:pt idx="2">
                  <c:v>26044</c:v>
                </c:pt>
                <c:pt idx="3">
                  <c:v>26508</c:v>
                </c:pt>
                <c:pt idx="4">
                  <c:v>26092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DB-4E7C-AFC3-70B36CD1A578}"/>
            </c:ext>
          </c:extLst>
        </c:ser>
        <c:ser>
          <c:idx val="1"/>
          <c:order val="1"/>
          <c:tx>
            <c:strRef>
              <c:f>인구!$A$4</c:f>
              <c:strCache>
                <c:ptCount val="1"/>
                <c:pt idx="0">
                  <c:v>여자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인구!$B$2:$F$2</c:f>
              <c:strCache>
                <c:ptCount val="5"/>
                <c:pt idx="0">
                  <c:v>2010년</c:v>
                </c:pt>
                <c:pt idx="1">
                  <c:v>2017년</c:v>
                </c:pt>
                <c:pt idx="2">
                  <c:v>2020년</c:v>
                </c:pt>
                <c:pt idx="3">
                  <c:v>2030년</c:v>
                </c:pt>
                <c:pt idx="4">
                  <c:v>2040년</c:v>
                </c:pt>
              </c:strCache>
            </c:strRef>
          </c:cat>
          <c:val>
            <c:numRef>
              <c:f>인구!$B$4:$F$4</c:f>
              <c:numCache>
                <c:formatCode>#,##0</c:formatCode>
                <c:ptCount val="5"/>
                <c:pt idx="0">
                  <c:v>24673</c:v>
                </c:pt>
                <c:pt idx="1">
                  <c:v>25656</c:v>
                </c:pt>
                <c:pt idx="2">
                  <c:v>25930</c:v>
                </c:pt>
                <c:pt idx="3">
                  <c:v>26434</c:v>
                </c:pt>
                <c:pt idx="4">
                  <c:v>26106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B-4E7C-AFC3-70B36CD1A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22728623"/>
        <c:axId val="1022731119"/>
      </c:barChart>
      <c:lineChart>
        <c:grouping val="standard"/>
        <c:varyColors val="0"/>
        <c:ser>
          <c:idx val="2"/>
          <c:order val="2"/>
          <c:tx>
            <c:strRef>
              <c:f>인구!$A$5</c:f>
              <c:strCache>
                <c:ptCount val="1"/>
                <c:pt idx="0">
                  <c:v>총인구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인구!$B$2:$F$2</c:f>
              <c:strCache>
                <c:ptCount val="5"/>
                <c:pt idx="0">
                  <c:v>2010년</c:v>
                </c:pt>
                <c:pt idx="1">
                  <c:v>2017년</c:v>
                </c:pt>
                <c:pt idx="2">
                  <c:v>2020년</c:v>
                </c:pt>
                <c:pt idx="3">
                  <c:v>2030년</c:v>
                </c:pt>
                <c:pt idx="4">
                  <c:v>2040년</c:v>
                </c:pt>
              </c:strCache>
            </c:strRef>
          </c:cat>
          <c:val>
            <c:numRef>
              <c:f>인구!$B$5:$F$5</c:f>
              <c:numCache>
                <c:formatCode>#,##0</c:formatCode>
                <c:ptCount val="5"/>
                <c:pt idx="0">
                  <c:v>49554</c:v>
                </c:pt>
                <c:pt idx="1">
                  <c:v>51446</c:v>
                </c:pt>
                <c:pt idx="2">
                  <c:v>51974</c:v>
                </c:pt>
                <c:pt idx="3">
                  <c:v>52941</c:v>
                </c:pt>
                <c:pt idx="4">
                  <c:v>52198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DB-4E7C-AFC3-70B36CD1A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0056479"/>
        <c:axId val="1017048687"/>
      </c:lineChart>
      <c:catAx>
        <c:axId val="1022728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22731119"/>
        <c:crosses val="autoZero"/>
        <c:auto val="1"/>
        <c:lblAlgn val="ctr"/>
        <c:lblOffset val="100"/>
        <c:noMultiLvlLbl val="0"/>
      </c:catAx>
      <c:valAx>
        <c:axId val="102273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22728623"/>
        <c:crosses val="autoZero"/>
        <c:crossBetween val="between"/>
      </c:valAx>
      <c:valAx>
        <c:axId val="1017048687"/>
        <c:scaling>
          <c:orientation val="minMax"/>
          <c:max val="60000"/>
          <c:min val="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30056479"/>
        <c:crosses val="max"/>
        <c:crossBetween val="between"/>
        <c:majorUnit val="20000"/>
      </c:valAx>
      <c:catAx>
        <c:axId val="10300564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17048687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차트1!$A$1</c:f>
          <c:strCache>
            <c:ptCount val="1"/>
            <c:pt idx="0">
              <c:v>정보통신서비스별 세부인력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차트1!$A$4</c:f>
              <c:strCache>
                <c:ptCount val="1"/>
                <c:pt idx="0">
                  <c:v>기간통신서비스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2"/>
              <c:layout/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6FBF-419A-9CDF-64BB1B2DC5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차트1!$B$3:$F$3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차트1!$B$4:$F$4</c:f>
              <c:numCache>
                <c:formatCode>#,##0_ </c:formatCode>
                <c:ptCount val="5"/>
                <c:pt idx="0">
                  <c:v>45010</c:v>
                </c:pt>
                <c:pt idx="1">
                  <c:v>43023</c:v>
                </c:pt>
                <c:pt idx="2">
                  <c:v>43848</c:v>
                </c:pt>
                <c:pt idx="3">
                  <c:v>43454</c:v>
                </c:pt>
                <c:pt idx="4">
                  <c:v>43755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A2-48A7-9D55-80B0A68C9843}"/>
            </c:ext>
          </c:extLst>
        </c:ser>
        <c:ser>
          <c:idx val="2"/>
          <c:order val="1"/>
          <c:tx>
            <c:strRef>
              <c:f>차트1!$A$6</c:f>
              <c:strCache>
                <c:ptCount val="1"/>
                <c:pt idx="0">
                  <c:v>부가통신서비스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차트1!$B$3:$F$3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차트1!$B$6:$F$6</c:f>
              <c:numCache>
                <c:formatCode>#,##0_ </c:formatCode>
                <c:ptCount val="5"/>
                <c:pt idx="0">
                  <c:v>28628</c:v>
                </c:pt>
                <c:pt idx="1">
                  <c:v>40404</c:v>
                </c:pt>
                <c:pt idx="2">
                  <c:v>43044</c:v>
                </c:pt>
                <c:pt idx="3">
                  <c:v>50824</c:v>
                </c:pt>
                <c:pt idx="4">
                  <c:v>52981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A2-48A7-9D55-80B0A68C9843}"/>
            </c:ext>
          </c:extLst>
        </c:ser>
        <c:ser>
          <c:idx val="3"/>
          <c:order val="2"/>
          <c:tx>
            <c:strRef>
              <c:f>차트1!$A$7</c:f>
              <c:strCache>
                <c:ptCount val="1"/>
                <c:pt idx="0">
                  <c:v>방송서비스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차트1!$B$3:$F$3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차트1!$B$7:$F$7</c:f>
              <c:numCache>
                <c:formatCode>#,##0_ </c:formatCode>
                <c:ptCount val="5"/>
                <c:pt idx="0">
                  <c:v>28395</c:v>
                </c:pt>
                <c:pt idx="1">
                  <c:v>28484</c:v>
                </c:pt>
                <c:pt idx="2">
                  <c:v>27048</c:v>
                </c:pt>
                <c:pt idx="3">
                  <c:v>26714</c:v>
                </c:pt>
                <c:pt idx="4">
                  <c:v>26383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A2-48A7-9D55-80B0A68C9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660861551"/>
        <c:axId val="601169983"/>
      </c:barChart>
      <c:catAx>
        <c:axId val="660861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1169983"/>
        <c:crosses val="autoZero"/>
        <c:auto val="1"/>
        <c:lblAlgn val="ctr"/>
        <c:lblOffset val="100"/>
        <c:noMultiLvlLbl val="0"/>
      </c:catAx>
      <c:valAx>
        <c:axId val="60116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0861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정보통신서비스별 세부인력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'차트1(결과)'!$A$4</c:f>
              <c:strCache>
                <c:ptCount val="1"/>
                <c:pt idx="0">
                  <c:v>기간통신서비스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2"/>
              <c:layout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24F-43CA-B5C3-F9497D0352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'차트1(결과)'!$B$3:$F$3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'차트1(결과)'!$B$4:$F$4</c:f>
              <c:numCache>
                <c:formatCode>#,##0_ </c:formatCode>
                <c:ptCount val="5"/>
                <c:pt idx="0">
                  <c:v>45010</c:v>
                </c:pt>
                <c:pt idx="1">
                  <c:v>43023</c:v>
                </c:pt>
                <c:pt idx="2">
                  <c:v>43848</c:v>
                </c:pt>
                <c:pt idx="3">
                  <c:v>43454</c:v>
                </c:pt>
                <c:pt idx="4">
                  <c:v>43755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4F-43CA-B5C3-F9497D035223}"/>
            </c:ext>
          </c:extLst>
        </c:ser>
        <c:ser>
          <c:idx val="2"/>
          <c:order val="1"/>
          <c:tx>
            <c:strRef>
              <c:f>'차트1(결과)'!$A$6</c:f>
              <c:strCache>
                <c:ptCount val="1"/>
                <c:pt idx="0">
                  <c:v>부가통신서비스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'차트1(결과)'!$B$3:$F$3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'차트1(결과)'!$B$6:$F$6</c:f>
              <c:numCache>
                <c:formatCode>#,##0_ </c:formatCode>
                <c:ptCount val="5"/>
                <c:pt idx="0">
                  <c:v>28628</c:v>
                </c:pt>
                <c:pt idx="1">
                  <c:v>40404</c:v>
                </c:pt>
                <c:pt idx="2">
                  <c:v>43044</c:v>
                </c:pt>
                <c:pt idx="3">
                  <c:v>50824</c:v>
                </c:pt>
                <c:pt idx="4">
                  <c:v>52981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4F-43CA-B5C3-F9497D035223}"/>
            </c:ext>
          </c:extLst>
        </c:ser>
        <c:ser>
          <c:idx val="3"/>
          <c:order val="2"/>
          <c:tx>
            <c:strRef>
              <c:f>'차트1(결과)'!$A$7</c:f>
              <c:strCache>
                <c:ptCount val="1"/>
                <c:pt idx="0">
                  <c:v>방송서비스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'차트1(결과)'!$B$3:$F$3</c:f>
              <c:strCache>
                <c:ptCount val="5"/>
                <c:pt idx="0">
                  <c:v>2017년</c:v>
                </c:pt>
                <c:pt idx="1">
                  <c:v>2018년</c:v>
                </c:pt>
                <c:pt idx="2">
                  <c:v>2019년</c:v>
                </c:pt>
                <c:pt idx="3">
                  <c:v>2020년</c:v>
                </c:pt>
                <c:pt idx="4">
                  <c:v>2021년</c:v>
                </c:pt>
              </c:strCache>
            </c:strRef>
          </c:cat>
          <c:val>
            <c:numRef>
              <c:f>'차트1(결과)'!$B$7:$F$7</c:f>
              <c:numCache>
                <c:formatCode>#,##0_ </c:formatCode>
                <c:ptCount val="5"/>
                <c:pt idx="0">
                  <c:v>28395</c:v>
                </c:pt>
                <c:pt idx="1">
                  <c:v>28484</c:v>
                </c:pt>
                <c:pt idx="2">
                  <c:v>27048</c:v>
                </c:pt>
                <c:pt idx="3">
                  <c:v>26714</c:v>
                </c:pt>
                <c:pt idx="4">
                  <c:v>26383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4F-43CA-B5C3-F9497D035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696461488"/>
        <c:axId val="696461904"/>
      </c:barChart>
      <c:catAx>
        <c:axId val="696461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6461904"/>
        <c:crosses val="autoZero"/>
        <c:auto val="1"/>
        <c:lblAlgn val="ctr"/>
        <c:lblOffset val="100"/>
        <c:noMultiLvlLbl val="0"/>
      </c:catAx>
      <c:valAx>
        <c:axId val="69646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6461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차트2!$A$1</c:f>
          <c:strCache>
            <c:ptCount val="1"/>
            <c:pt idx="0">
              <c:v>학년별 장학금 현황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차트2!$A$4</c:f>
              <c:strCache>
                <c:ptCount val="1"/>
                <c:pt idx="0">
                  <c:v>성적장학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차트2!$B$3:$D$3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차트2!$B$4:$D$4</c:f>
              <c:numCache>
                <c:formatCode>#,##0</c:formatCode>
                <c:ptCount val="3"/>
                <c:pt idx="0">
                  <c:v>42437</c:v>
                </c:pt>
                <c:pt idx="1">
                  <c:v>43632</c:v>
                </c:pt>
                <c:pt idx="2">
                  <c:v>47664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B6-4B08-8197-036DB46F2CD5}"/>
            </c:ext>
          </c:extLst>
        </c:ser>
        <c:ser>
          <c:idx val="1"/>
          <c:order val="1"/>
          <c:tx>
            <c:strRef>
              <c:f>차트2!$A$5</c:f>
              <c:strCache>
                <c:ptCount val="1"/>
                <c:pt idx="0">
                  <c:v>가계장학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차트2!$B$3:$D$3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차트2!$B$5:$D$5</c:f>
              <c:numCache>
                <c:formatCode>#,##0</c:formatCode>
                <c:ptCount val="3"/>
                <c:pt idx="0">
                  <c:v>11666</c:v>
                </c:pt>
                <c:pt idx="1">
                  <c:v>12769</c:v>
                </c:pt>
                <c:pt idx="2">
                  <c:v>13182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B6-4B08-8197-036DB46F2CD5}"/>
            </c:ext>
          </c:extLst>
        </c:ser>
        <c:ser>
          <c:idx val="2"/>
          <c:order val="2"/>
          <c:tx>
            <c:strRef>
              <c:f>차트2!$A$6</c:f>
              <c:strCache>
                <c:ptCount val="1"/>
                <c:pt idx="0">
                  <c:v>근로장학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차트2!$B$3:$D$3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차트2!$B$6:$D$6</c:f>
              <c:numCache>
                <c:formatCode>#,##0</c:formatCode>
                <c:ptCount val="3"/>
                <c:pt idx="0">
                  <c:v>27345</c:v>
                </c:pt>
                <c:pt idx="1">
                  <c:v>27973</c:v>
                </c:pt>
                <c:pt idx="2">
                  <c:v>31570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B6-4B08-8197-036DB46F2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2233392"/>
        <c:axId val="692236304"/>
      </c:barChart>
      <c:catAx>
        <c:axId val="69223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2236304"/>
        <c:crosses val="autoZero"/>
        <c:auto val="1"/>
        <c:lblAlgn val="ctr"/>
        <c:lblOffset val="100"/>
        <c:noMultiLvlLbl val="0"/>
      </c:catAx>
      <c:valAx>
        <c:axId val="69223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223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'차트2(결과)'!$A$1</c:f>
          <c:strCache>
            <c:ptCount val="1"/>
            <c:pt idx="0">
              <c:v>학년별 장학금 현황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'차트2(결과)'!$A$4</c:f>
              <c:strCache>
                <c:ptCount val="1"/>
                <c:pt idx="0">
                  <c:v>성적장학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'차트2(결과)'!$B$3:$D$3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'차트2(결과)'!$B$4:$D$4</c:f>
              <c:numCache>
                <c:formatCode>#,##0</c:formatCode>
                <c:ptCount val="3"/>
                <c:pt idx="0">
                  <c:v>42437</c:v>
                </c:pt>
                <c:pt idx="1">
                  <c:v>43632</c:v>
                </c:pt>
                <c:pt idx="2">
                  <c:v>47664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82-4DCE-9CEA-D22A0294E2D4}"/>
            </c:ext>
          </c:extLst>
        </c:ser>
        <c:ser>
          <c:idx val="1"/>
          <c:order val="1"/>
          <c:tx>
            <c:strRef>
              <c:f>'차트2(결과)'!$A$5</c:f>
              <c:strCache>
                <c:ptCount val="1"/>
                <c:pt idx="0">
                  <c:v>가계장학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'차트2(결과)'!$B$3:$D$3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'차트2(결과)'!$B$5:$D$5</c:f>
              <c:numCache>
                <c:formatCode>#,##0</c:formatCode>
                <c:ptCount val="3"/>
                <c:pt idx="0">
                  <c:v>11666</c:v>
                </c:pt>
                <c:pt idx="1">
                  <c:v>12769</c:v>
                </c:pt>
                <c:pt idx="2">
                  <c:v>13182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82-4DCE-9CEA-D22A0294E2D4}"/>
            </c:ext>
          </c:extLst>
        </c:ser>
        <c:ser>
          <c:idx val="2"/>
          <c:order val="2"/>
          <c:tx>
            <c:strRef>
              <c:f>'차트2(결과)'!$A$6</c:f>
              <c:strCache>
                <c:ptCount val="1"/>
                <c:pt idx="0">
                  <c:v>근로장학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'차트2(결과)'!$B$3:$D$3</c:f>
              <c:strCache>
                <c:ptCount val="3"/>
                <c:pt idx="0">
                  <c:v>1학년</c:v>
                </c:pt>
                <c:pt idx="1">
                  <c:v>2학년</c:v>
                </c:pt>
                <c:pt idx="2">
                  <c:v>3학년</c:v>
                </c:pt>
              </c:strCache>
            </c:strRef>
          </c:cat>
          <c:val>
            <c:numRef>
              <c:f>'차트2(결과)'!$B$6:$D$6</c:f>
              <c:numCache>
                <c:formatCode>#,##0</c:formatCode>
                <c:ptCount val="3"/>
                <c:pt idx="0">
                  <c:v>27345</c:v>
                </c:pt>
                <c:pt idx="1">
                  <c:v>27973</c:v>
                </c:pt>
                <c:pt idx="2">
                  <c:v>31570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82-4DCE-9CEA-D22A0294E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2233392"/>
        <c:axId val="692236304"/>
      </c:barChart>
      <c:catAx>
        <c:axId val="69223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2236304"/>
        <c:crosses val="autoZero"/>
        <c:auto val="1"/>
        <c:lblAlgn val="ctr"/>
        <c:lblOffset val="100"/>
        <c:noMultiLvlLbl val="0"/>
      </c:catAx>
      <c:valAx>
        <c:axId val="69223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223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25400" cap="flat" cmpd="sng" algn="ctr">
      <a:solidFill>
        <a:schemeClr val="tx1">
          <a:lumMod val="15000"/>
          <a:lumOff val="85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5</xdr:col>
      <xdr:colOff>754673</xdr:colOff>
      <xdr:row>20</xdr:row>
      <xdr:rowOff>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F1C6FA19-F4FE-4802-8B14-B2FC8EF158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409575</xdr:colOff>
      <xdr:row>2</xdr:row>
      <xdr:rowOff>19050</xdr:rowOff>
    </xdr:from>
    <xdr:to>
      <xdr:col>12</xdr:col>
      <xdr:colOff>590550</xdr:colOff>
      <xdr:row>12</xdr:row>
      <xdr:rowOff>180975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215C22C-B041-45EA-8436-7C98A48E2E06}"/>
            </a:ext>
          </a:extLst>
        </xdr:cNvPr>
        <xdr:cNvSpPr txBox="1"/>
      </xdr:nvSpPr>
      <xdr:spPr>
        <a:xfrm>
          <a:off x="6505575" y="438150"/>
          <a:ext cx="4295775" cy="2257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① </a:t>
          </a:r>
          <a:r>
            <a:rPr lang="en-US" altLang="ko-KR" sz="1100"/>
            <a:t>'</a:t>
          </a:r>
          <a:r>
            <a:rPr lang="ko-KR" altLang="en-US" sz="1100"/>
            <a:t>별정통신서비스</a:t>
          </a:r>
          <a:r>
            <a:rPr lang="en-US" altLang="ko-KR" sz="1100"/>
            <a:t>' </a:t>
          </a:r>
          <a:r>
            <a:rPr lang="ko-KR" altLang="en-US" sz="1100"/>
            <a:t>계열이 제거되도록 데이터 범위를 수정하시오</a:t>
          </a:r>
          <a:r>
            <a:rPr lang="en-US" altLang="ko-KR" sz="1100"/>
            <a:t>.</a:t>
          </a:r>
        </a:p>
        <a:p>
          <a:r>
            <a:rPr lang="ko-KR" altLang="en-US" sz="1100"/>
            <a:t>② 차트 종류를 </a:t>
          </a:r>
          <a:r>
            <a:rPr lang="en-US" altLang="ko-KR" sz="1100"/>
            <a:t>'</a:t>
          </a:r>
          <a:r>
            <a:rPr lang="ko-KR" altLang="en-US" sz="1100"/>
            <a:t>누적 세로 막대형</a:t>
          </a:r>
          <a:r>
            <a:rPr lang="en-US" altLang="ko-KR" sz="1100"/>
            <a:t>'</a:t>
          </a:r>
          <a:r>
            <a:rPr lang="ko-KR" altLang="en-US" sz="1100"/>
            <a:t>으로 변경하시오</a:t>
          </a:r>
          <a:r>
            <a:rPr lang="en-US" altLang="ko-KR" sz="1100"/>
            <a:t>.</a:t>
          </a:r>
        </a:p>
        <a:p>
          <a:r>
            <a:rPr lang="ko-KR" altLang="en-US" sz="1100"/>
            <a:t>③ 차트 제목은 </a:t>
          </a:r>
          <a:r>
            <a:rPr lang="en-US" altLang="ko-KR" sz="1100"/>
            <a:t>'</a:t>
          </a:r>
          <a:r>
            <a:rPr lang="ko-KR" altLang="en-US" sz="1100"/>
            <a:t>차트 위</a:t>
          </a:r>
          <a:r>
            <a:rPr lang="en-US" altLang="ko-KR" sz="1100"/>
            <a:t>'</a:t>
          </a:r>
          <a:r>
            <a:rPr lang="ko-KR" altLang="en-US" sz="1100"/>
            <a:t>로 추가하여 </a:t>
          </a:r>
          <a:r>
            <a:rPr lang="en-US" altLang="ko-KR" sz="1100"/>
            <a:t>&lt;</a:t>
          </a:r>
          <a:r>
            <a:rPr lang="ko-KR" altLang="en-US" sz="1100"/>
            <a:t>그림</a:t>
          </a:r>
          <a:r>
            <a:rPr lang="en-US" altLang="ko-KR" sz="1100"/>
            <a:t>&gt;</a:t>
          </a:r>
          <a:r>
            <a:rPr lang="ko-KR" altLang="en-US" sz="1100"/>
            <a:t>과 같이 입력하시오</a:t>
          </a:r>
          <a:r>
            <a:rPr lang="en-US" altLang="ko-KR" sz="1100"/>
            <a:t>.</a:t>
          </a:r>
        </a:p>
        <a:p>
          <a:r>
            <a:rPr lang="ko-KR" altLang="en-US" sz="1100"/>
            <a:t>④ </a:t>
          </a:r>
          <a:r>
            <a:rPr lang="en-US" altLang="ko-KR" sz="1100"/>
            <a:t>'</a:t>
          </a:r>
          <a:r>
            <a:rPr lang="ko-KR" altLang="en-US" sz="1100"/>
            <a:t>기간통신서비스</a:t>
          </a:r>
          <a:r>
            <a:rPr lang="en-US" altLang="ko-KR" sz="1100"/>
            <a:t>' </a:t>
          </a:r>
          <a:r>
            <a:rPr lang="ko-KR" altLang="en-US" sz="1100"/>
            <a:t>계열의 </a:t>
          </a:r>
          <a:r>
            <a:rPr lang="en-US" altLang="ko-KR" sz="1100"/>
            <a:t>'2019</a:t>
          </a:r>
          <a:r>
            <a:rPr lang="ko-KR" altLang="en-US" sz="1100"/>
            <a:t>년</a:t>
          </a:r>
          <a:r>
            <a:rPr lang="en-US" altLang="ko-KR" sz="1100"/>
            <a:t>' </a:t>
          </a:r>
          <a:r>
            <a:rPr lang="ko-KR" altLang="en-US" sz="1100"/>
            <a:t>요소에만 데이터 레이블 </a:t>
          </a:r>
          <a:r>
            <a:rPr lang="en-US" altLang="ko-KR" sz="1100"/>
            <a:t>'</a:t>
          </a:r>
          <a:r>
            <a:rPr lang="ko-KR" altLang="en-US" sz="1100"/>
            <a:t>값</a:t>
          </a:r>
          <a:r>
            <a:rPr lang="en-US" altLang="ko-KR" sz="1100"/>
            <a:t>'</a:t>
          </a:r>
          <a:r>
            <a:rPr lang="ko-KR" altLang="en-US" sz="1100"/>
            <a:t>을 표시하고</a:t>
          </a:r>
          <a:r>
            <a:rPr lang="en-US" altLang="ko-KR" sz="1100"/>
            <a:t>, </a:t>
          </a:r>
          <a:r>
            <a:rPr lang="ko-KR" altLang="en-US" sz="1100"/>
            <a:t>레이블의 위치를 </a:t>
          </a:r>
          <a:r>
            <a:rPr lang="en-US" altLang="ko-KR" sz="1100"/>
            <a:t>'</a:t>
          </a:r>
          <a:r>
            <a:rPr lang="ko-KR" altLang="en-US" sz="1100"/>
            <a:t>가운데</a:t>
          </a:r>
          <a:r>
            <a:rPr lang="en-US" altLang="ko-KR" sz="1100"/>
            <a:t>'</a:t>
          </a:r>
          <a:r>
            <a:rPr lang="ko-KR" altLang="en-US" sz="1100"/>
            <a:t>로 설정하시오</a:t>
          </a:r>
          <a:r>
            <a:rPr lang="en-US" altLang="ko-KR" sz="1100"/>
            <a:t>.</a:t>
          </a:r>
        </a:p>
        <a:p>
          <a:r>
            <a:rPr lang="ko-KR" altLang="en-US" sz="1100"/>
            <a:t>⑤ 전체 계열의 계열 겹치기와 간격 너비를 각각 </a:t>
          </a:r>
          <a:r>
            <a:rPr lang="en-US" altLang="ko-KR" sz="1100"/>
            <a:t>0%</a:t>
          </a:r>
          <a:r>
            <a:rPr lang="ko-KR" altLang="en-US" sz="1100"/>
            <a:t>로 설정하고</a:t>
          </a:r>
          <a:r>
            <a:rPr lang="en-US" altLang="ko-KR" sz="1100"/>
            <a:t>, </a:t>
          </a:r>
          <a:r>
            <a:rPr lang="ko-KR" altLang="en-US" sz="1100"/>
            <a:t>범례는 아래쪽에 표시하시오</a:t>
          </a:r>
          <a:r>
            <a:rPr lang="en-US" altLang="ko-KR" sz="1100"/>
            <a:t>.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A61A83A-3239-4220-AFA9-628EA4C0C6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5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FF6E9E3-6085-4267-A3A7-AEABD030C3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180975</xdr:colOff>
      <xdr:row>1</xdr:row>
      <xdr:rowOff>200025</xdr:rowOff>
    </xdr:from>
    <xdr:to>
      <xdr:col>11</xdr:col>
      <xdr:colOff>379535</xdr:colOff>
      <xdr:row>12</xdr:row>
      <xdr:rowOff>181707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DE33A055-CE76-4C29-9D8A-243244C3152B}"/>
            </a:ext>
          </a:extLst>
        </xdr:cNvPr>
        <xdr:cNvSpPr txBox="1"/>
      </xdr:nvSpPr>
      <xdr:spPr>
        <a:xfrm>
          <a:off x="7277100" y="533400"/>
          <a:ext cx="4313360" cy="22867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① </a:t>
          </a:r>
          <a:r>
            <a:rPr lang="en-US" altLang="ko-KR" sz="1100"/>
            <a:t>'</a:t>
          </a:r>
          <a:r>
            <a:rPr lang="ko-KR" altLang="en-US" sz="1100"/>
            <a:t>합계</a:t>
          </a:r>
          <a:r>
            <a:rPr lang="en-US" altLang="ko-KR" sz="1100"/>
            <a:t>' </a:t>
          </a:r>
          <a:r>
            <a:rPr lang="ko-KR" altLang="en-US" sz="1100"/>
            <a:t>계열이 제거되도록 데이터 범위를 수정하시오</a:t>
          </a:r>
          <a:r>
            <a:rPr lang="en-US" altLang="ko-KR" sz="1100"/>
            <a:t>.</a:t>
          </a:r>
        </a:p>
        <a:p>
          <a:r>
            <a:rPr lang="ko-KR" altLang="en-US" sz="1100"/>
            <a:t>② 차트 종류를 </a:t>
          </a:r>
          <a:r>
            <a:rPr lang="en-US" altLang="ko-KR" sz="1100"/>
            <a:t>'</a:t>
          </a:r>
          <a:r>
            <a:rPr lang="ko-KR" altLang="en-US" sz="1100"/>
            <a:t>누적 가로 막대형</a:t>
          </a:r>
          <a:r>
            <a:rPr lang="en-US" altLang="ko-KR" sz="1100"/>
            <a:t>'</a:t>
          </a:r>
          <a:r>
            <a:rPr lang="ko-KR" altLang="en-US" sz="1100"/>
            <a:t>으로 변경하시오</a:t>
          </a:r>
          <a:r>
            <a:rPr lang="en-US" altLang="ko-KR" sz="1100"/>
            <a:t>.</a:t>
          </a:r>
        </a:p>
        <a:p>
          <a:r>
            <a:rPr lang="ko-KR" altLang="en-US" sz="1100"/>
            <a:t>③ 차트 제목은 </a:t>
          </a:r>
          <a:r>
            <a:rPr lang="en-US" altLang="ko-KR" sz="1100"/>
            <a:t>'</a:t>
          </a:r>
          <a:r>
            <a:rPr lang="ko-KR" altLang="en-US" sz="1100"/>
            <a:t>차트 위</a:t>
          </a:r>
          <a:r>
            <a:rPr lang="en-US" altLang="ko-KR" sz="1100"/>
            <a:t>'</a:t>
          </a:r>
          <a:r>
            <a:rPr lang="ko-KR" altLang="en-US" sz="1100"/>
            <a:t>로 지정한 후 </a:t>
          </a:r>
          <a:r>
            <a:rPr lang="en-US" altLang="ko-KR" sz="1100"/>
            <a:t>[A1]</a:t>
          </a:r>
          <a:r>
            <a:rPr lang="ko-KR" altLang="en-US" sz="1100"/>
            <a:t>셀과 연동되도록 설정하시오</a:t>
          </a:r>
          <a:r>
            <a:rPr lang="en-US" altLang="ko-KR" sz="1100"/>
            <a:t>.</a:t>
          </a:r>
        </a:p>
        <a:p>
          <a:r>
            <a:rPr lang="ko-KR" altLang="en-US" sz="1100"/>
            <a:t>④ </a:t>
          </a:r>
          <a:r>
            <a:rPr lang="en-US" altLang="ko-KR" sz="1100"/>
            <a:t>'</a:t>
          </a:r>
          <a:r>
            <a:rPr lang="ko-KR" altLang="en-US" sz="1100"/>
            <a:t>근로장학</a:t>
          </a:r>
          <a:r>
            <a:rPr lang="en-US" altLang="ko-KR" sz="1100"/>
            <a:t>' </a:t>
          </a:r>
          <a:r>
            <a:rPr lang="ko-KR" altLang="en-US" sz="1100"/>
            <a:t>계열에만 데이터 레이블 </a:t>
          </a:r>
          <a:r>
            <a:rPr lang="en-US" altLang="ko-KR" sz="1100"/>
            <a:t>'</a:t>
          </a:r>
          <a:r>
            <a:rPr lang="ko-KR" altLang="en-US" sz="1100"/>
            <a:t>값</a:t>
          </a:r>
          <a:r>
            <a:rPr lang="en-US" altLang="ko-KR" sz="1100"/>
            <a:t>'</a:t>
          </a:r>
          <a:r>
            <a:rPr lang="ko-KR" altLang="en-US" sz="1100"/>
            <a:t>을 표시하고</a:t>
          </a:r>
          <a:r>
            <a:rPr lang="en-US" altLang="ko-KR" sz="1100"/>
            <a:t>,  </a:t>
          </a:r>
          <a:r>
            <a:rPr lang="ko-KR" altLang="en-US" sz="1100"/>
            <a:t>레이블의 위치를 </a:t>
          </a:r>
          <a:r>
            <a:rPr lang="en-US" altLang="ko-KR" sz="1100"/>
            <a:t>'</a:t>
          </a:r>
          <a:r>
            <a:rPr lang="ko-KR" altLang="en-US" sz="1100"/>
            <a:t>안쪽 끝에</a:t>
          </a:r>
          <a:r>
            <a:rPr lang="en-US" altLang="ko-KR" sz="1100"/>
            <a:t>'</a:t>
          </a:r>
          <a:r>
            <a:rPr lang="ko-KR" altLang="en-US" sz="1100"/>
            <a:t>로 설정하시오</a:t>
          </a:r>
          <a:r>
            <a:rPr lang="en-US" altLang="ko-KR" sz="1100"/>
            <a:t>.</a:t>
          </a:r>
        </a:p>
        <a:p>
          <a:r>
            <a:rPr lang="ko-KR" altLang="en-US" sz="1100"/>
            <a:t>⑤ 차트 영역의 그림자는 </a:t>
          </a:r>
          <a:r>
            <a:rPr lang="en-US" altLang="ko-KR" sz="1100"/>
            <a:t>'</a:t>
          </a:r>
          <a:r>
            <a:rPr lang="ko-KR" altLang="en-US" sz="1100"/>
            <a:t>안쪽 운데</a:t>
          </a:r>
          <a:r>
            <a:rPr lang="en-US" altLang="ko-KR" sz="1100"/>
            <a:t>', </a:t>
          </a:r>
          <a:r>
            <a:rPr lang="ko-KR" altLang="en-US" sz="1100"/>
            <a:t>테두리 스타일은 너비 </a:t>
          </a:r>
          <a:r>
            <a:rPr lang="en-US" altLang="ko-KR" sz="1100"/>
            <a:t>'2pt'</a:t>
          </a:r>
          <a:r>
            <a:rPr lang="ko-KR" altLang="en-US" sz="1100"/>
            <a:t>와 </a:t>
          </a:r>
          <a:r>
            <a:rPr lang="en-US" altLang="ko-KR" sz="1100"/>
            <a:t>'</a:t>
          </a:r>
          <a:r>
            <a:rPr lang="ko-KR" altLang="en-US" sz="1100"/>
            <a:t>둥근 모서리</a:t>
          </a:r>
          <a:r>
            <a:rPr lang="en-US" altLang="ko-KR" sz="1100"/>
            <a:t>'</a:t>
          </a:r>
          <a:r>
            <a:rPr lang="ko-KR" altLang="en-US" sz="1100"/>
            <a:t>로 설정하시오</a:t>
          </a:r>
          <a:r>
            <a:rPr lang="en-US" altLang="ko-KR" sz="1100"/>
            <a:t>.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5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BED512DF-69C8-42DB-84FB-18E9C6EB36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238124</xdr:colOff>
      <xdr:row>1</xdr:row>
      <xdr:rowOff>152400</xdr:rowOff>
    </xdr:from>
    <xdr:to>
      <xdr:col>13</xdr:col>
      <xdr:colOff>571499</xdr:colOff>
      <xdr:row>16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971924" y="485775"/>
          <a:ext cx="5819775" cy="3019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① </a:t>
          </a:r>
          <a:r>
            <a:rPr lang="en-US" altLang="ko-KR" sz="1100"/>
            <a:t>[E4:E8]</a:t>
          </a:r>
          <a:r>
            <a:rPr lang="ko-KR" altLang="en-US" sz="1100"/>
            <a:t>영역에 총점을 계산하는 매크로를 생성하여 실행하시오</a:t>
          </a:r>
          <a:r>
            <a:rPr lang="en-US" altLang="ko-KR" sz="1100"/>
            <a:t>.</a:t>
          </a:r>
        </a:p>
        <a:p>
          <a:r>
            <a:rPr lang="ko-KR" altLang="en-US" sz="1100"/>
            <a:t>▶매크로 이름 </a:t>
          </a:r>
          <a:r>
            <a:rPr lang="en-US" altLang="ko-KR" sz="1100"/>
            <a:t>: </a:t>
          </a:r>
          <a:r>
            <a:rPr lang="ko-KR" altLang="en-US" sz="1100"/>
            <a:t>총점</a:t>
          </a:r>
          <a:endParaRPr lang="en-US" altLang="ko-KR" sz="1100"/>
        </a:p>
        <a:p>
          <a:r>
            <a:rPr lang="ko-KR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▶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총점 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소양인증 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 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직무인증</a:t>
          </a:r>
          <a:endParaRPr lang="en-US" altLang="ko-K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▶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개발 도구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]-[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삽입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]-[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양식 컨트롤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의 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단추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를  동일 시트의 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[A10:B11]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영역에 생성하고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텍스트를 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총점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으로 입력한 후 단추를 클릭할 때 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총점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 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매크로가 실행되도록 설정하시오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 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[A3:E8] 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영역에 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모든 테두리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를 적용하는 매크로를 생성하여 실행하시오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▶매크로 이름 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테두리</a:t>
          </a:r>
          <a:endParaRPr lang="en-US" altLang="ko-K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▶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도형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]-[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기본 도형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의 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빗면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을 동일 시트의 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[D10:E11]</a:t>
          </a:r>
          <a:r>
            <a:rPr lang="en-US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영역에 생성하고</a:t>
          </a:r>
          <a:r>
            <a:rPr lang="en-US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텍스트를 </a:t>
          </a:r>
          <a:r>
            <a:rPr lang="en-US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</a:t>
          </a:r>
          <a:r>
            <a:rPr lang="ko-KR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테두리</a:t>
          </a:r>
          <a:r>
            <a:rPr lang="en-US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</a:t>
          </a:r>
          <a:r>
            <a:rPr lang="ko-KR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로 입력한 후 도형을 클릭할 때 </a:t>
          </a:r>
          <a:r>
            <a:rPr lang="en-US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</a:t>
          </a:r>
          <a:r>
            <a:rPr lang="ko-KR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테두리</a:t>
          </a:r>
          <a:r>
            <a:rPr lang="en-US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 </a:t>
          </a:r>
          <a:r>
            <a:rPr lang="ko-KR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매크로가 실행되도록 설정하시오</a:t>
          </a:r>
          <a:r>
            <a:rPr lang="en-US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※ </a:t>
          </a:r>
          <a:r>
            <a:rPr lang="ko-KR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셀 포인터의 위치에 상관없이 현재 통합문서에서 매크로가 실행되어야 정답으로 인정됨</a:t>
          </a:r>
          <a:r>
            <a:rPr lang="en-US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9</xdr:row>
      <xdr:rowOff>0</xdr:rowOff>
    </xdr:from>
    <xdr:to>
      <xdr:col>5</xdr:col>
      <xdr:colOff>0</xdr:colOff>
      <xdr:row>11</xdr:row>
      <xdr:rowOff>0</xdr:rowOff>
    </xdr:to>
    <xdr:sp macro="[0]!테두리" textlink="">
      <xdr:nvSpPr>
        <xdr:cNvPr id="3" name="빗면 2"/>
        <xdr:cNvSpPr/>
      </xdr:nvSpPr>
      <xdr:spPr>
        <a:xfrm>
          <a:off x="2362200" y="2009775"/>
          <a:ext cx="137160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테두리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총점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9</xdr:row>
      <xdr:rowOff>0</xdr:rowOff>
    </xdr:from>
    <xdr:to>
      <xdr:col>5</xdr:col>
      <xdr:colOff>0</xdr:colOff>
      <xdr:row>11</xdr:row>
      <xdr:rowOff>0</xdr:rowOff>
    </xdr:to>
    <xdr:sp macro="[1]!테두리결과" textlink="">
      <xdr:nvSpPr>
        <xdr:cNvPr id="2" name="빗면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362200" y="2009775"/>
          <a:ext cx="137160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테두리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352425</xdr:colOff>
      <xdr:row>0</xdr:row>
      <xdr:rowOff>219075</xdr:rowOff>
    </xdr:from>
    <xdr:to>
      <xdr:col>15</xdr:col>
      <xdr:colOff>0</xdr:colOff>
      <xdr:row>15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591175" y="219075"/>
          <a:ext cx="5819775" cy="3143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① </a:t>
          </a:r>
          <a:r>
            <a:rPr lang="en-US" altLang="ko-KR" sz="1100"/>
            <a:t>[F4:F11]</a:t>
          </a:r>
          <a:r>
            <a:rPr lang="en-US" altLang="ko-KR" sz="1100" baseline="0"/>
            <a:t> </a:t>
          </a:r>
          <a:r>
            <a:rPr lang="ko-KR" altLang="en-US" sz="1100" baseline="0"/>
            <a:t>이익금액을 </a:t>
          </a:r>
          <a:r>
            <a:rPr lang="ko-KR" altLang="en-US" sz="1100"/>
            <a:t>계산하는 매크로를 생성하여 실행하시오</a:t>
          </a:r>
          <a:r>
            <a:rPr lang="en-US" altLang="ko-KR" sz="1100"/>
            <a:t>.</a:t>
          </a:r>
        </a:p>
        <a:p>
          <a:r>
            <a:rPr lang="ko-KR" altLang="en-US" sz="1100"/>
            <a:t>▶매크로 이름 </a:t>
          </a:r>
          <a:r>
            <a:rPr lang="en-US" altLang="ko-KR" sz="1100"/>
            <a:t>: </a:t>
          </a:r>
          <a:r>
            <a:rPr lang="ko-KR" altLang="en-US" sz="1100"/>
            <a:t>이익금액</a:t>
          </a:r>
          <a:endParaRPr lang="en-US" altLang="ko-KR" sz="1100"/>
        </a:p>
        <a:p>
          <a:r>
            <a:rPr lang="ko-KR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▶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이익금액 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 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판매금액 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매입금액</a:t>
          </a:r>
          <a:endParaRPr lang="en-US" altLang="ko-K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▶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개발 도구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]-[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삽입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]-[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양식 컨트롤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의 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단추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를  동일 시트의 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[B13:C14]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영역에 생성하고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텍스트를 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이익금액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으로 입력한 후 단추를 클릭할 때 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이익금액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 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매크로가 실행되도록 설정하시오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endParaRPr lang="en-US" altLang="ko-K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 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[A3:F3] 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영역에 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셀 스타일을 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강조색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1'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로 적용하는 매크로를 생성하여 실행하시오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▶매크로 이름 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셀스타일</a:t>
          </a:r>
          <a:endParaRPr lang="en-US" altLang="ko-K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▶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도형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]-[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기본 도형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의 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빗면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</a:t>
          </a:r>
          <a:r>
            <a:rPr lang="ko-KR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을 동일 시트의 </a:t>
          </a:r>
          <a:r>
            <a:rPr lang="en-US" altLang="ko-K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[E13:F14]</a:t>
          </a:r>
          <a:r>
            <a:rPr lang="en-US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영역에 생성하고</a:t>
          </a:r>
          <a:r>
            <a:rPr lang="en-US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텍스트를 </a:t>
          </a:r>
          <a:r>
            <a:rPr lang="en-US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</a:t>
          </a:r>
          <a:r>
            <a:rPr lang="ko-KR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셀스타일</a:t>
          </a:r>
          <a:r>
            <a:rPr lang="en-US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</a:t>
          </a:r>
          <a:r>
            <a:rPr lang="ko-KR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로 입력한 후 도형을 클릭할 때 </a:t>
          </a:r>
          <a:r>
            <a:rPr lang="en-US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</a:t>
          </a:r>
          <a:r>
            <a:rPr lang="ko-KR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셀스타일</a:t>
          </a:r>
          <a:r>
            <a:rPr lang="en-US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 </a:t>
          </a:r>
          <a:r>
            <a:rPr lang="ko-KR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매크로가 실행되도록 설정하시오</a:t>
          </a:r>
          <a:r>
            <a:rPr lang="en-US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※ </a:t>
          </a:r>
          <a:r>
            <a:rPr lang="ko-KR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셀 포인터의 위치에 상관없이 현재 통합문서에서 매크로가 실행되어야 정답으로 인정됨</a:t>
          </a:r>
          <a:r>
            <a:rPr lang="en-US" altLang="ko-K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이익금액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12</xdr:row>
      <xdr:rowOff>0</xdr:rowOff>
    </xdr:from>
    <xdr:to>
      <xdr:col>6</xdr:col>
      <xdr:colOff>0</xdr:colOff>
      <xdr:row>14</xdr:row>
      <xdr:rowOff>0</xdr:rowOff>
    </xdr:to>
    <xdr:sp macro="[0]!셀스타일" textlink="">
      <xdr:nvSpPr>
        <xdr:cNvPr id="3" name="빗면 2"/>
        <xdr:cNvSpPr/>
      </xdr:nvSpPr>
      <xdr:spPr>
        <a:xfrm>
          <a:off x="3429000" y="2638425"/>
          <a:ext cx="1809750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셀스타일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이익금액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12</xdr:row>
      <xdr:rowOff>0</xdr:rowOff>
    </xdr:from>
    <xdr:to>
      <xdr:col>6</xdr:col>
      <xdr:colOff>0</xdr:colOff>
      <xdr:row>14</xdr:row>
      <xdr:rowOff>0</xdr:rowOff>
    </xdr:to>
    <xdr:sp macro="[1]!셀스타일결과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429000" y="2638425"/>
          <a:ext cx="180975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셀스타일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2023&#45380;\&#48512;&#52380;&#50668;&#49457;\2023&#52980;&#54876;2&#44553;\2023&#52980;&#54876;2&#44553;\&#51060;&#47200;\&#44592;&#53440;&#51089;&#50629;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매크로1"/>
      <sheetName val="매크로1(결과)"/>
      <sheetName val="매크로2"/>
      <sheetName val="매크로2(결과)"/>
      <sheetName val="매크로3"/>
      <sheetName val="매크로3(결과)"/>
      <sheetName val="기타작업-1"/>
    </sheetNames>
    <definedNames>
      <definedName name="셀스타일결과"/>
      <definedName name="이익금액결과"/>
      <definedName name="총점결과"/>
      <definedName name="테두리결과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</sheetPr>
  <dimension ref="A1:F5"/>
  <sheetViews>
    <sheetView zoomScale="130" zoomScaleNormal="130" workbookViewId="0">
      <selection activeCell="I6" sqref="I6"/>
    </sheetView>
  </sheetViews>
  <sheetFormatPr defaultRowHeight="16.5"/>
  <cols>
    <col min="1" max="6" width="9.875" customWidth="1"/>
    <col min="7" max="7" width="14.625" customWidth="1"/>
  </cols>
  <sheetData>
    <row r="1" spans="1:6" ht="17.25" customHeight="1">
      <c r="A1" s="23" t="s">
        <v>57</v>
      </c>
      <c r="B1" s="23"/>
      <c r="C1" s="23"/>
      <c r="D1" s="23"/>
      <c r="E1" s="23"/>
      <c r="F1" s="23"/>
    </row>
    <row r="2" spans="1:6">
      <c r="A2" s="9"/>
      <c r="B2" s="10" t="s">
        <v>31</v>
      </c>
      <c r="C2" s="10" t="s">
        <v>32</v>
      </c>
      <c r="D2" s="10" t="s">
        <v>33</v>
      </c>
      <c r="E2" s="10" t="s">
        <v>34</v>
      </c>
      <c r="F2" s="10" t="s">
        <v>35</v>
      </c>
    </row>
    <row r="3" spans="1:6">
      <c r="A3" s="10" t="s">
        <v>36</v>
      </c>
      <c r="B3" s="11">
        <v>24881</v>
      </c>
      <c r="C3" s="11">
        <v>25790</v>
      </c>
      <c r="D3" s="11">
        <v>26044</v>
      </c>
      <c r="E3" s="11">
        <v>26508</v>
      </c>
      <c r="F3" s="11">
        <v>26092</v>
      </c>
    </row>
    <row r="4" spans="1:6">
      <c r="A4" s="10" t="s">
        <v>37</v>
      </c>
      <c r="B4" s="11">
        <v>24673</v>
      </c>
      <c r="C4" s="11">
        <v>25656</v>
      </c>
      <c r="D4" s="11">
        <v>25930</v>
      </c>
      <c r="E4" s="11">
        <v>26434</v>
      </c>
      <c r="F4" s="11">
        <v>26106</v>
      </c>
    </row>
    <row r="5" spans="1:6">
      <c r="A5" s="10" t="s">
        <v>38</v>
      </c>
      <c r="B5" s="11">
        <v>49554</v>
      </c>
      <c r="C5" s="11">
        <v>51446</v>
      </c>
      <c r="D5" s="11">
        <v>51974</v>
      </c>
      <c r="E5" s="11">
        <v>52941</v>
      </c>
      <c r="F5" s="11">
        <v>52198</v>
      </c>
    </row>
  </sheetData>
  <mergeCells count="1">
    <mergeCell ref="A1:F1"/>
  </mergeCells>
  <phoneticPr fontId="4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F7"/>
  <sheetViews>
    <sheetView zoomScale="130" zoomScaleNormal="130" workbookViewId="0">
      <selection activeCell="G19" sqref="G19"/>
    </sheetView>
  </sheetViews>
  <sheetFormatPr defaultRowHeight="16.5"/>
  <cols>
    <col min="1" max="1" width="16.875" customWidth="1"/>
    <col min="2" max="6" width="12.625" customWidth="1"/>
  </cols>
  <sheetData>
    <row r="1" spans="1:6">
      <c r="A1" s="12" t="s">
        <v>39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40</v>
      </c>
      <c r="B3" s="15" t="s">
        <v>32</v>
      </c>
      <c r="C3" s="15" t="s">
        <v>41</v>
      </c>
      <c r="D3" s="15" t="s">
        <v>42</v>
      </c>
      <c r="E3" s="15" t="s">
        <v>33</v>
      </c>
      <c r="F3" s="15" t="s">
        <v>43</v>
      </c>
    </row>
    <row r="4" spans="1:6">
      <c r="A4" s="16" t="s">
        <v>44</v>
      </c>
      <c r="B4" s="17">
        <v>45010</v>
      </c>
      <c r="C4" s="17">
        <v>43023</v>
      </c>
      <c r="D4" s="17">
        <v>43848</v>
      </c>
      <c r="E4" s="17">
        <v>43454</v>
      </c>
      <c r="F4" s="17">
        <v>43755</v>
      </c>
    </row>
    <row r="5" spans="1:6">
      <c r="A5" s="16" t="s">
        <v>45</v>
      </c>
      <c r="B5" s="17">
        <v>6158</v>
      </c>
      <c r="C5" s="17">
        <v>6268</v>
      </c>
      <c r="D5" s="17">
        <v>6400</v>
      </c>
      <c r="E5" s="17">
        <v>6664</v>
      </c>
      <c r="F5" s="17">
        <v>6702</v>
      </c>
    </row>
    <row r="6" spans="1:6">
      <c r="A6" s="16" t="s">
        <v>46</v>
      </c>
      <c r="B6" s="17">
        <v>28628</v>
      </c>
      <c r="C6" s="17">
        <v>40404</v>
      </c>
      <c r="D6" s="17">
        <v>43044</v>
      </c>
      <c r="E6" s="17">
        <v>50824</v>
      </c>
      <c r="F6" s="17">
        <v>52981</v>
      </c>
    </row>
    <row r="7" spans="1:6">
      <c r="A7" s="16" t="s">
        <v>47</v>
      </c>
      <c r="B7" s="17">
        <v>28395</v>
      </c>
      <c r="C7" s="17">
        <v>28484</v>
      </c>
      <c r="D7" s="17">
        <v>27048</v>
      </c>
      <c r="E7" s="17">
        <v>26714</v>
      </c>
      <c r="F7" s="17">
        <v>26383</v>
      </c>
    </row>
  </sheetData>
  <phoneticPr fontId="4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7"/>
  <sheetViews>
    <sheetView workbookViewId="0">
      <selection activeCell="H20" sqref="H20"/>
    </sheetView>
  </sheetViews>
  <sheetFormatPr defaultRowHeight="16.5"/>
  <cols>
    <col min="1" max="1" width="16.875" customWidth="1"/>
    <col min="2" max="6" width="12.625" customWidth="1"/>
  </cols>
  <sheetData>
    <row r="1" spans="1:6">
      <c r="A1" s="12" t="s">
        <v>39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40</v>
      </c>
      <c r="B3" s="15" t="s">
        <v>32</v>
      </c>
      <c r="C3" s="15" t="s">
        <v>41</v>
      </c>
      <c r="D3" s="15" t="s">
        <v>42</v>
      </c>
      <c r="E3" s="15" t="s">
        <v>33</v>
      </c>
      <c r="F3" s="15" t="s">
        <v>43</v>
      </c>
    </row>
    <row r="4" spans="1:6">
      <c r="A4" s="16" t="s">
        <v>44</v>
      </c>
      <c r="B4" s="17">
        <v>45010</v>
      </c>
      <c r="C4" s="17">
        <v>43023</v>
      </c>
      <c r="D4" s="17">
        <v>43848</v>
      </c>
      <c r="E4" s="17">
        <v>43454</v>
      </c>
      <c r="F4" s="17">
        <v>43755</v>
      </c>
    </row>
    <row r="5" spans="1:6">
      <c r="A5" s="16" t="s">
        <v>45</v>
      </c>
      <c r="B5" s="17">
        <v>6158</v>
      </c>
      <c r="C5" s="17">
        <v>6268</v>
      </c>
      <c r="D5" s="17">
        <v>6400</v>
      </c>
      <c r="E5" s="17">
        <v>6664</v>
      </c>
      <c r="F5" s="17">
        <v>6702</v>
      </c>
    </row>
    <row r="6" spans="1:6">
      <c r="A6" s="16" t="s">
        <v>46</v>
      </c>
      <c r="B6" s="17">
        <v>28628</v>
      </c>
      <c r="C6" s="17">
        <v>40404</v>
      </c>
      <c r="D6" s="17">
        <v>43044</v>
      </c>
      <c r="E6" s="17">
        <v>50824</v>
      </c>
      <c r="F6" s="17">
        <v>52981</v>
      </c>
    </row>
    <row r="7" spans="1:6">
      <c r="A7" s="16" t="s">
        <v>47</v>
      </c>
      <c r="B7" s="17">
        <v>28395</v>
      </c>
      <c r="C7" s="17">
        <v>28484</v>
      </c>
      <c r="D7" s="17">
        <v>27048</v>
      </c>
      <c r="E7" s="17">
        <v>26714</v>
      </c>
      <c r="F7" s="17">
        <v>26383</v>
      </c>
    </row>
  </sheetData>
  <phoneticPr fontId="4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C000"/>
  </sheetPr>
  <dimension ref="A1:D7"/>
  <sheetViews>
    <sheetView workbookViewId="0">
      <selection activeCell="H23" sqref="H23"/>
    </sheetView>
  </sheetViews>
  <sheetFormatPr defaultRowHeight="16.5"/>
  <cols>
    <col min="1" max="5" width="18.625" customWidth="1"/>
  </cols>
  <sheetData>
    <row r="1" spans="1:4" ht="26.25">
      <c r="A1" s="24" t="s">
        <v>48</v>
      </c>
      <c r="B1" s="24"/>
      <c r="C1" s="24"/>
      <c r="D1" s="24"/>
    </row>
    <row r="2" spans="1:4">
      <c r="A2" s="18"/>
      <c r="B2" s="18"/>
      <c r="C2" s="18"/>
      <c r="D2" s="19"/>
    </row>
    <row r="3" spans="1:4">
      <c r="A3" s="20" t="s">
        <v>49</v>
      </c>
      <c r="B3" s="20" t="s">
        <v>50</v>
      </c>
      <c r="C3" s="20" t="s">
        <v>51</v>
      </c>
      <c r="D3" s="20" t="s">
        <v>52</v>
      </c>
    </row>
    <row r="4" spans="1:4">
      <c r="A4" s="20" t="s">
        <v>53</v>
      </c>
      <c r="B4" s="21">
        <v>42437</v>
      </c>
      <c r="C4" s="21">
        <v>43632</v>
      </c>
      <c r="D4" s="22">
        <v>47664</v>
      </c>
    </row>
    <row r="5" spans="1:4">
      <c r="A5" s="20" t="s">
        <v>54</v>
      </c>
      <c r="B5" s="21">
        <v>11666</v>
      </c>
      <c r="C5" s="21">
        <v>12769</v>
      </c>
      <c r="D5" s="22">
        <v>13182</v>
      </c>
    </row>
    <row r="6" spans="1:4">
      <c r="A6" s="20" t="s">
        <v>55</v>
      </c>
      <c r="B6" s="22">
        <v>27345</v>
      </c>
      <c r="C6" s="21">
        <v>27973</v>
      </c>
      <c r="D6" s="22">
        <v>31570</v>
      </c>
    </row>
    <row r="7" spans="1:4">
      <c r="A7" s="20" t="s">
        <v>56</v>
      </c>
      <c r="B7" s="22">
        <v>81448</v>
      </c>
      <c r="C7" s="22">
        <v>84374</v>
      </c>
      <c r="D7" s="22">
        <v>92353</v>
      </c>
    </row>
  </sheetData>
  <mergeCells count="1">
    <mergeCell ref="A1:D1"/>
  </mergeCells>
  <phoneticPr fontId="4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7"/>
  <sheetViews>
    <sheetView topLeftCell="A8" workbookViewId="0">
      <selection activeCell="H20" sqref="H20"/>
    </sheetView>
  </sheetViews>
  <sheetFormatPr defaultRowHeight="16.5"/>
  <cols>
    <col min="1" max="5" width="18.625" customWidth="1"/>
  </cols>
  <sheetData>
    <row r="1" spans="1:4" ht="26.25">
      <c r="A1" s="24" t="s">
        <v>48</v>
      </c>
      <c r="B1" s="24"/>
      <c r="C1" s="24"/>
      <c r="D1" s="24"/>
    </row>
    <row r="2" spans="1:4">
      <c r="A2" s="18"/>
      <c r="B2" s="18"/>
      <c r="C2" s="18"/>
      <c r="D2" s="19"/>
    </row>
    <row r="3" spans="1:4">
      <c r="A3" s="20" t="s">
        <v>49</v>
      </c>
      <c r="B3" s="20" t="s">
        <v>50</v>
      </c>
      <c r="C3" s="20" t="s">
        <v>51</v>
      </c>
      <c r="D3" s="20" t="s">
        <v>52</v>
      </c>
    </row>
    <row r="4" spans="1:4">
      <c r="A4" s="20" t="s">
        <v>53</v>
      </c>
      <c r="B4" s="21">
        <v>42437</v>
      </c>
      <c r="C4" s="21">
        <v>43632</v>
      </c>
      <c r="D4" s="22">
        <v>47664</v>
      </c>
    </row>
    <row r="5" spans="1:4">
      <c r="A5" s="20" t="s">
        <v>54</v>
      </c>
      <c r="B5" s="21">
        <v>11666</v>
      </c>
      <c r="C5" s="21">
        <v>12769</v>
      </c>
      <c r="D5" s="22">
        <v>13182</v>
      </c>
    </row>
    <row r="6" spans="1:4">
      <c r="A6" s="20" t="s">
        <v>55</v>
      </c>
      <c r="B6" s="22">
        <v>27345</v>
      </c>
      <c r="C6" s="21">
        <v>27973</v>
      </c>
      <c r="D6" s="22">
        <v>31570</v>
      </c>
    </row>
    <row r="7" spans="1:4">
      <c r="A7" s="20" t="s">
        <v>56</v>
      </c>
      <c r="B7" s="22">
        <v>81448</v>
      </c>
      <c r="C7" s="22">
        <v>84374</v>
      </c>
      <c r="D7" s="22">
        <v>92353</v>
      </c>
    </row>
  </sheetData>
  <mergeCells count="1">
    <mergeCell ref="A1:D1"/>
  </mergeCells>
  <phoneticPr fontId="4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C000"/>
  </sheetPr>
  <dimension ref="A1:E8"/>
  <sheetViews>
    <sheetView workbookViewId="0">
      <selection activeCell="A3" sqref="A3:E8"/>
    </sheetView>
  </sheetViews>
  <sheetFormatPr defaultRowHeight="16.5"/>
  <cols>
    <col min="1" max="1" width="13" bestFit="1" customWidth="1"/>
  </cols>
  <sheetData>
    <row r="1" spans="1:5" ht="26.25">
      <c r="A1" s="25" t="s">
        <v>0</v>
      </c>
      <c r="B1" s="25"/>
      <c r="C1" s="25"/>
      <c r="D1" s="25"/>
      <c r="E1" s="25"/>
    </row>
    <row r="2" spans="1:5">
      <c r="A2" s="1"/>
      <c r="B2" s="1"/>
      <c r="C2" s="1"/>
      <c r="D2" s="2"/>
    </row>
    <row r="3" spans="1:5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</row>
    <row r="4" spans="1:5">
      <c r="A4" s="3" t="s">
        <v>6</v>
      </c>
      <c r="B4" s="3" t="s">
        <v>7</v>
      </c>
      <c r="C4" s="4">
        <v>5780</v>
      </c>
      <c r="D4" s="4">
        <v>17940</v>
      </c>
      <c r="E4" s="4">
        <f>C4+D4</f>
        <v>23720</v>
      </c>
    </row>
    <row r="5" spans="1:5">
      <c r="A5" s="3" t="s">
        <v>8</v>
      </c>
      <c r="B5" s="3" t="s">
        <v>9</v>
      </c>
      <c r="C5" s="4">
        <v>13960</v>
      </c>
      <c r="D5" s="4">
        <v>11560</v>
      </c>
      <c r="E5" s="4">
        <f t="shared" ref="E5:E8" si="0">C5+D5</f>
        <v>25520</v>
      </c>
    </row>
    <row r="6" spans="1:5">
      <c r="A6" s="3" t="s">
        <v>10</v>
      </c>
      <c r="B6" s="3" t="s">
        <v>11</v>
      </c>
      <c r="C6" s="4">
        <v>9140</v>
      </c>
      <c r="D6" s="4">
        <v>19700</v>
      </c>
      <c r="E6" s="4">
        <f t="shared" si="0"/>
        <v>28840</v>
      </c>
    </row>
    <row r="7" spans="1:5">
      <c r="A7" s="3" t="s">
        <v>12</v>
      </c>
      <c r="B7" s="3" t="s">
        <v>13</v>
      </c>
      <c r="C7" s="4">
        <v>3300</v>
      </c>
      <c r="D7" s="4">
        <v>2840</v>
      </c>
      <c r="E7" s="4">
        <f t="shared" si="0"/>
        <v>6140</v>
      </c>
    </row>
    <row r="8" spans="1:5">
      <c r="A8" s="3" t="s">
        <v>14</v>
      </c>
      <c r="B8" s="3" t="s">
        <v>15</v>
      </c>
      <c r="C8" s="4">
        <v>4580</v>
      </c>
      <c r="D8" s="4">
        <v>4650</v>
      </c>
      <c r="E8" s="4">
        <f t="shared" si="0"/>
        <v>9230</v>
      </c>
    </row>
  </sheetData>
  <mergeCells count="1">
    <mergeCell ref="A1:E1"/>
  </mergeCells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3" name="Button 6">
              <controlPr defaultSize="0" print="0" autoFill="0" autoPict="0" macro="[0]!총점">
                <anchor moveWithCells="1" siz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8"/>
  <sheetViews>
    <sheetView workbookViewId="0">
      <selection activeCell="K22" sqref="K22"/>
    </sheetView>
  </sheetViews>
  <sheetFormatPr defaultRowHeight="16.5"/>
  <cols>
    <col min="1" max="1" width="13" bestFit="1" customWidth="1"/>
  </cols>
  <sheetData>
    <row r="1" spans="1:5" ht="26.25">
      <c r="A1" s="25" t="s">
        <v>0</v>
      </c>
      <c r="B1" s="25"/>
      <c r="C1" s="25"/>
      <c r="D1" s="25"/>
      <c r="E1" s="25"/>
    </row>
    <row r="2" spans="1:5">
      <c r="A2" s="1"/>
      <c r="B2" s="1"/>
      <c r="C2" s="1"/>
      <c r="D2" s="2"/>
    </row>
    <row r="3" spans="1:5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</row>
    <row r="4" spans="1:5">
      <c r="A4" s="3" t="s">
        <v>6</v>
      </c>
      <c r="B4" s="3" t="s">
        <v>7</v>
      </c>
      <c r="C4" s="4">
        <v>5780</v>
      </c>
      <c r="D4" s="4">
        <v>17940</v>
      </c>
      <c r="E4" s="4">
        <f>C4+D4</f>
        <v>23720</v>
      </c>
    </row>
    <row r="5" spans="1:5">
      <c r="A5" s="3" t="s">
        <v>8</v>
      </c>
      <c r="B5" s="3" t="s">
        <v>9</v>
      </c>
      <c r="C5" s="4">
        <v>13960</v>
      </c>
      <c r="D5" s="4">
        <v>11560</v>
      </c>
      <c r="E5" s="4">
        <f t="shared" ref="E5:E8" si="0">C5+D5</f>
        <v>25520</v>
      </c>
    </row>
    <row r="6" spans="1:5">
      <c r="A6" s="3" t="s">
        <v>10</v>
      </c>
      <c r="B6" s="3" t="s">
        <v>11</v>
      </c>
      <c r="C6" s="4">
        <v>9140</v>
      </c>
      <c r="D6" s="4">
        <v>19700</v>
      </c>
      <c r="E6" s="4">
        <f t="shared" si="0"/>
        <v>28840</v>
      </c>
    </row>
    <row r="7" spans="1:5">
      <c r="A7" s="3" t="s">
        <v>12</v>
      </c>
      <c r="B7" s="3" t="s">
        <v>13</v>
      </c>
      <c r="C7" s="4">
        <v>3300</v>
      </c>
      <c r="D7" s="4">
        <v>2840</v>
      </c>
      <c r="E7" s="4">
        <f t="shared" si="0"/>
        <v>6140</v>
      </c>
    </row>
    <row r="8" spans="1:5">
      <c r="A8" s="3" t="s">
        <v>14</v>
      </c>
      <c r="B8" s="3" t="s">
        <v>15</v>
      </c>
      <c r="C8" s="4">
        <v>4580</v>
      </c>
      <c r="D8" s="4">
        <v>4650</v>
      </c>
      <c r="E8" s="4">
        <f t="shared" si="0"/>
        <v>9230</v>
      </c>
    </row>
  </sheetData>
  <mergeCells count="1">
    <mergeCell ref="A1:E1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총점결과">
                <anchor moveWithCells="1" siz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C000"/>
  </sheetPr>
  <dimension ref="A1:F11"/>
  <sheetViews>
    <sheetView tabSelected="1" workbookViewId="0">
      <selection activeCell="A3" sqref="A3:F3"/>
    </sheetView>
  </sheetViews>
  <sheetFormatPr defaultRowHeight="16.5"/>
  <cols>
    <col min="1" max="1" width="13.25" customWidth="1"/>
    <col min="2" max="2" width="10.875" bestFit="1" customWidth="1"/>
    <col min="4" max="5" width="11.875" bestFit="1" customWidth="1"/>
    <col min="6" max="6" width="11.875" customWidth="1"/>
  </cols>
  <sheetData>
    <row r="1" spans="1:6" ht="26.25">
      <c r="A1" s="26" t="s">
        <v>16</v>
      </c>
      <c r="B1" s="26"/>
      <c r="C1" s="26"/>
      <c r="D1" s="26"/>
      <c r="E1" s="26"/>
      <c r="F1" s="26"/>
    </row>
    <row r="2" spans="1:6">
      <c r="A2" s="1"/>
      <c r="B2" s="1"/>
      <c r="C2" s="1"/>
      <c r="D2" s="1"/>
      <c r="E2" s="1"/>
      <c r="F2" s="1"/>
    </row>
    <row r="3" spans="1:6">
      <c r="A3" s="8" t="s">
        <v>17</v>
      </c>
      <c r="B3" s="8" t="s">
        <v>18</v>
      </c>
      <c r="C3" s="8" t="s">
        <v>19</v>
      </c>
      <c r="D3" s="8" t="s">
        <v>20</v>
      </c>
      <c r="E3" s="8" t="s">
        <v>21</v>
      </c>
      <c r="F3" s="8" t="s">
        <v>22</v>
      </c>
    </row>
    <row r="4" spans="1:6">
      <c r="A4" s="5" t="s">
        <v>23</v>
      </c>
      <c r="B4" s="6">
        <v>1400000</v>
      </c>
      <c r="C4" s="7">
        <v>34</v>
      </c>
      <c r="D4" s="6">
        <f>B4*C4</f>
        <v>47600000</v>
      </c>
      <c r="E4" s="6">
        <f>D4*80%</f>
        <v>38080000</v>
      </c>
      <c r="F4" s="6">
        <f>D4-E4</f>
        <v>9520000</v>
      </c>
    </row>
    <row r="5" spans="1:6">
      <c r="A5" s="5" t="s">
        <v>24</v>
      </c>
      <c r="B5" s="6">
        <v>960000</v>
      </c>
      <c r="C5" s="7">
        <v>25</v>
      </c>
      <c r="D5" s="6">
        <f t="shared" ref="D5:D11" si="0">B5*C5</f>
        <v>24000000</v>
      </c>
      <c r="E5" s="6">
        <f t="shared" ref="E5:E11" si="1">D5*80%</f>
        <v>19200000</v>
      </c>
      <c r="F5" s="6">
        <f t="shared" ref="F5:F11" si="2">D5-E5</f>
        <v>4800000</v>
      </c>
    </row>
    <row r="6" spans="1:6">
      <c r="A6" s="5" t="s">
        <v>25</v>
      </c>
      <c r="B6" s="6">
        <v>1585000</v>
      </c>
      <c r="C6" s="7">
        <v>55</v>
      </c>
      <c r="D6" s="6">
        <f t="shared" si="0"/>
        <v>87175000</v>
      </c>
      <c r="E6" s="6">
        <f t="shared" si="1"/>
        <v>69740000</v>
      </c>
      <c r="F6" s="6">
        <f t="shared" si="2"/>
        <v>17435000</v>
      </c>
    </row>
    <row r="7" spans="1:6">
      <c r="A7" s="5" t="s">
        <v>26</v>
      </c>
      <c r="B7" s="6">
        <v>790000</v>
      </c>
      <c r="C7" s="7">
        <v>27</v>
      </c>
      <c r="D7" s="6">
        <f t="shared" si="0"/>
        <v>21330000</v>
      </c>
      <c r="E7" s="6">
        <f t="shared" si="1"/>
        <v>17064000</v>
      </c>
      <c r="F7" s="6">
        <f t="shared" si="2"/>
        <v>4266000</v>
      </c>
    </row>
    <row r="8" spans="1:6">
      <c r="A8" s="5" t="s">
        <v>27</v>
      </c>
      <c r="B8" s="6">
        <v>1564000</v>
      </c>
      <c r="C8" s="7">
        <v>28</v>
      </c>
      <c r="D8" s="6">
        <f t="shared" si="0"/>
        <v>43792000</v>
      </c>
      <c r="E8" s="6">
        <f t="shared" si="1"/>
        <v>35033600</v>
      </c>
      <c r="F8" s="6">
        <f t="shared" si="2"/>
        <v>8758400</v>
      </c>
    </row>
    <row r="9" spans="1:6">
      <c r="A9" s="5" t="s">
        <v>28</v>
      </c>
      <c r="B9" s="6">
        <v>887000</v>
      </c>
      <c r="C9" s="7">
        <v>36</v>
      </c>
      <c r="D9" s="6">
        <f t="shared" si="0"/>
        <v>31932000</v>
      </c>
      <c r="E9" s="6">
        <f t="shared" si="1"/>
        <v>25545600</v>
      </c>
      <c r="F9" s="6">
        <f t="shared" si="2"/>
        <v>6386400</v>
      </c>
    </row>
    <row r="10" spans="1:6">
      <c r="A10" s="5" t="s">
        <v>29</v>
      </c>
      <c r="B10" s="6">
        <v>705000</v>
      </c>
      <c r="C10" s="7">
        <v>38</v>
      </c>
      <c r="D10" s="6">
        <f t="shared" si="0"/>
        <v>26790000</v>
      </c>
      <c r="E10" s="6">
        <f t="shared" si="1"/>
        <v>21432000</v>
      </c>
      <c r="F10" s="6">
        <f t="shared" si="2"/>
        <v>5358000</v>
      </c>
    </row>
    <row r="11" spans="1:6">
      <c r="A11" s="5" t="s">
        <v>30</v>
      </c>
      <c r="B11" s="6">
        <v>1870000</v>
      </c>
      <c r="C11" s="7">
        <v>52</v>
      </c>
      <c r="D11" s="6">
        <f t="shared" si="0"/>
        <v>97240000</v>
      </c>
      <c r="E11" s="6">
        <f t="shared" si="1"/>
        <v>77792000</v>
      </c>
      <c r="F11" s="6">
        <f t="shared" si="2"/>
        <v>19448000</v>
      </c>
    </row>
  </sheetData>
  <mergeCells count="1">
    <mergeCell ref="A1:F1"/>
  </mergeCells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이익금액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11"/>
  <sheetViews>
    <sheetView workbookViewId="0">
      <selection activeCell="G30" sqref="G30"/>
    </sheetView>
  </sheetViews>
  <sheetFormatPr defaultRowHeight="16.5"/>
  <cols>
    <col min="1" max="1" width="13.25" customWidth="1"/>
    <col min="2" max="2" width="10.875" bestFit="1" customWidth="1"/>
    <col min="4" max="5" width="11.875" bestFit="1" customWidth="1"/>
    <col min="6" max="6" width="11.875" customWidth="1"/>
  </cols>
  <sheetData>
    <row r="1" spans="1:6" ht="26.25">
      <c r="A1" s="26" t="s">
        <v>16</v>
      </c>
      <c r="B1" s="26"/>
      <c r="C1" s="26"/>
      <c r="D1" s="26"/>
      <c r="E1" s="26"/>
      <c r="F1" s="26"/>
    </row>
    <row r="2" spans="1:6">
      <c r="A2" s="1"/>
      <c r="B2" s="1"/>
      <c r="C2" s="1"/>
      <c r="D2" s="1"/>
      <c r="E2" s="1"/>
      <c r="F2" s="1"/>
    </row>
    <row r="3" spans="1:6">
      <c r="A3" s="8" t="s">
        <v>17</v>
      </c>
      <c r="B3" s="8" t="s">
        <v>18</v>
      </c>
      <c r="C3" s="8" t="s">
        <v>19</v>
      </c>
      <c r="D3" s="8" t="s">
        <v>20</v>
      </c>
      <c r="E3" s="8" t="s">
        <v>21</v>
      </c>
      <c r="F3" s="8" t="s">
        <v>22</v>
      </c>
    </row>
    <row r="4" spans="1:6">
      <c r="A4" s="5" t="s">
        <v>23</v>
      </c>
      <c r="B4" s="6">
        <v>1400000</v>
      </c>
      <c r="C4" s="7">
        <v>34</v>
      </c>
      <c r="D4" s="6">
        <f>B4*C4</f>
        <v>47600000</v>
      </c>
      <c r="E4" s="6">
        <f>D4*80%</f>
        <v>38080000</v>
      </c>
      <c r="F4" s="6">
        <f>D4-E4</f>
        <v>9520000</v>
      </c>
    </row>
    <row r="5" spans="1:6">
      <c r="A5" s="5" t="s">
        <v>24</v>
      </c>
      <c r="B5" s="6">
        <v>960000</v>
      </c>
      <c r="C5" s="7">
        <v>25</v>
      </c>
      <c r="D5" s="6">
        <f t="shared" ref="D5:D11" si="0">B5*C5</f>
        <v>24000000</v>
      </c>
      <c r="E5" s="6">
        <f t="shared" ref="E5:E11" si="1">D5*80%</f>
        <v>19200000</v>
      </c>
      <c r="F5" s="6">
        <f t="shared" ref="F5:F11" si="2">D5-E5</f>
        <v>4800000</v>
      </c>
    </row>
    <row r="6" spans="1:6">
      <c r="A6" s="5" t="s">
        <v>25</v>
      </c>
      <c r="B6" s="6">
        <v>1585000</v>
      </c>
      <c r="C6" s="7">
        <v>55</v>
      </c>
      <c r="D6" s="6">
        <f t="shared" si="0"/>
        <v>87175000</v>
      </c>
      <c r="E6" s="6">
        <f t="shared" si="1"/>
        <v>69740000</v>
      </c>
      <c r="F6" s="6">
        <f t="shared" si="2"/>
        <v>17435000</v>
      </c>
    </row>
    <row r="7" spans="1:6">
      <c r="A7" s="5" t="s">
        <v>26</v>
      </c>
      <c r="B7" s="6">
        <v>790000</v>
      </c>
      <c r="C7" s="7">
        <v>27</v>
      </c>
      <c r="D7" s="6">
        <f t="shared" si="0"/>
        <v>21330000</v>
      </c>
      <c r="E7" s="6">
        <f t="shared" si="1"/>
        <v>17064000</v>
      </c>
      <c r="F7" s="6">
        <f t="shared" si="2"/>
        <v>4266000</v>
      </c>
    </row>
    <row r="8" spans="1:6">
      <c r="A8" s="5" t="s">
        <v>27</v>
      </c>
      <c r="B8" s="6">
        <v>1564000</v>
      </c>
      <c r="C8" s="7">
        <v>28</v>
      </c>
      <c r="D8" s="6">
        <f t="shared" si="0"/>
        <v>43792000</v>
      </c>
      <c r="E8" s="6">
        <f t="shared" si="1"/>
        <v>35033600</v>
      </c>
      <c r="F8" s="6">
        <f t="shared" si="2"/>
        <v>8758400</v>
      </c>
    </row>
    <row r="9" spans="1:6">
      <c r="A9" s="5" t="s">
        <v>28</v>
      </c>
      <c r="B9" s="6">
        <v>887000</v>
      </c>
      <c r="C9" s="7">
        <v>36</v>
      </c>
      <c r="D9" s="6">
        <f t="shared" si="0"/>
        <v>31932000</v>
      </c>
      <c r="E9" s="6">
        <f t="shared" si="1"/>
        <v>25545600</v>
      </c>
      <c r="F9" s="6">
        <f t="shared" si="2"/>
        <v>6386400</v>
      </c>
    </row>
    <row r="10" spans="1:6">
      <c r="A10" s="5" t="s">
        <v>29</v>
      </c>
      <c r="B10" s="6">
        <v>705000</v>
      </c>
      <c r="C10" s="7">
        <v>38</v>
      </c>
      <c r="D10" s="6">
        <f t="shared" si="0"/>
        <v>26790000</v>
      </c>
      <c r="E10" s="6">
        <f t="shared" si="1"/>
        <v>21432000</v>
      </c>
      <c r="F10" s="6">
        <f t="shared" si="2"/>
        <v>5358000</v>
      </c>
    </row>
    <row r="11" spans="1:6">
      <c r="A11" s="5" t="s">
        <v>30</v>
      </c>
      <c r="B11" s="6">
        <v>1870000</v>
      </c>
      <c r="C11" s="7">
        <v>52</v>
      </c>
      <c r="D11" s="6">
        <f t="shared" si="0"/>
        <v>97240000</v>
      </c>
      <c r="E11" s="6">
        <f t="shared" si="1"/>
        <v>77792000</v>
      </c>
      <c r="F11" s="6">
        <f t="shared" si="2"/>
        <v>19448000</v>
      </c>
    </row>
  </sheetData>
  <mergeCells count="1">
    <mergeCell ref="A1:F1"/>
  </mergeCells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1]!이익금액결과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인구</vt:lpstr>
      <vt:lpstr>차트1</vt:lpstr>
      <vt:lpstr>차트1(결과)</vt:lpstr>
      <vt:lpstr>차트2</vt:lpstr>
      <vt:lpstr>차트2(결과)</vt:lpstr>
      <vt:lpstr>매크로1</vt:lpstr>
      <vt:lpstr>매크로1(결과)</vt:lpstr>
      <vt:lpstr>매크로2</vt:lpstr>
      <vt:lpstr>매크로2(결과)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조인명(교원)</dc:creator>
  <cp:lastModifiedBy>YUHAN</cp:lastModifiedBy>
  <dcterms:created xsi:type="dcterms:W3CDTF">2023-11-22T16:01:49Z</dcterms:created>
  <dcterms:modified xsi:type="dcterms:W3CDTF">2023-11-23T06:16:23Z</dcterms:modified>
</cp:coreProperties>
</file>